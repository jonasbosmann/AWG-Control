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list" sheetId="1" state="visible" r:id="rId1"/>
    <sheet name="Owned + ACST parts" sheetId="2" state="visible" r:id="rId2"/>
    <sheet name="Tx chain levels" sheetId="3" state="visible" r:id="rId3"/>
    <sheet name="Rx LO chain levels" sheetId="4" state="visible" r:id="rId4"/>
    <sheet name="IF levels + chirp leak" sheetId="5" state="visible" r:id="rId5"/>
    <sheet name="Frequency plan" sheetId="6" state="visible" r:id="rId6"/>
    <sheet name="Nov workaround" sheetId="7" state="visible" r:id="rId7"/>
    <sheet name="Final chains (MMD-1030L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4" customWidth="1" min="3" max="3"/>
    <col width="5" customWidth="1" min="4" max="4"/>
    <col width="12" customWidth="1" min="5" max="5"/>
    <col width="10" customWidth="1" min="6" max="6"/>
    <col width="22" customWidth="1" min="7" max="7"/>
    <col width="14" customWidth="1" min="8" max="8"/>
    <col width="48" customWidth="1" min="9" max="9"/>
  </cols>
  <sheetData>
    <row r="1">
      <c r="A1" s="1" t="inlineStr">
        <is>
          <t>Section</t>
        </is>
      </c>
      <c r="B1" s="1" t="inlineStr">
        <is>
          <t>Model</t>
        </is>
      </c>
      <c r="C1" s="1" t="inlineStr">
        <is>
          <t>Function</t>
        </is>
      </c>
      <c r="D1" s="1" t="inlineStr">
        <is>
          <t>Qty</t>
        </is>
      </c>
      <c r="E1" s="1" t="inlineStr">
        <is>
          <t>Unit USD (MCL list)</t>
        </is>
      </c>
      <c r="F1" s="1" t="inlineStr">
        <is>
          <t>Ext USD</t>
        </is>
      </c>
      <c r="G1" s="1" t="inlineStr">
        <is>
          <t>Stock MCL direct 2026-08-05</t>
        </is>
      </c>
      <c r="H1" s="1" t="inlineStr">
        <is>
          <t>Mouser/EU stock</t>
        </is>
      </c>
      <c r="I1" s="1" t="inlineStr">
        <is>
          <t>Notes</t>
        </is>
      </c>
    </row>
    <row r="2">
      <c r="A2" t="inlineStr">
        <is>
          <t>Tx chain</t>
        </is>
      </c>
      <c r="B2" t="inlineStr">
        <is>
          <t>ZX60-P105LN+</t>
        </is>
      </c>
      <c r="C2" s="2" t="inlineStr">
        <is>
          <t>Front LNA (NF ~0.9), directly after AWG CH1 - no input pad</t>
        </is>
      </c>
      <c r="D2" t="n">
        <v>1</v>
      </c>
      <c r="E2" s="3" t="n">
        <v>119.47</v>
      </c>
      <c r="F2" s="3">
        <f>D2*E2</f>
        <v/>
      </c>
      <c r="G2" s="4" t="inlineStr">
        <is>
          <t>OUT OF STOCK - ships ~Nov 2026</t>
        </is>
      </c>
      <c r="H2" t="inlineStr">
        <is>
          <t>check</t>
        </is>
      </c>
      <c r="I2" s="2" t="inlineStr">
        <is>
          <t>P1dB +18.9; spec edge 2.6 GHz, watch gain tilt at 2.57</t>
        </is>
      </c>
    </row>
    <row r="3">
      <c r="A3" t="inlineStr">
        <is>
          <t>Tx chain</t>
        </is>
      </c>
      <c r="B3" t="inlineStr">
        <is>
          <t>VBFZ-2340-S+</t>
        </is>
      </c>
      <c r="C3" s="2" t="inlineStr">
        <is>
          <t>BPF 2020-2660 MHz before tripler (kills LNA harmonics / AWG images)</t>
        </is>
      </c>
      <c r="D3" t="n">
        <v>1</v>
      </c>
      <c r="E3" s="3" t="n">
        <v>54.13</v>
      </c>
      <c r="F3" s="3">
        <f>D3*E3</f>
        <v/>
      </c>
      <c r="G3" t="inlineStr">
        <is>
          <t>&gt;100</t>
        </is>
      </c>
      <c r="H3" t="inlineStr">
        <is>
          <t>check</t>
        </is>
      </c>
      <c r="I3" s="2" t="inlineStr"/>
    </row>
    <row r="4">
      <c r="A4" t="inlineStr">
        <is>
          <t>Tx chain</t>
        </is>
      </c>
      <c r="B4" t="inlineStr">
        <is>
          <t>ZX90-3-812-S+</t>
        </is>
      </c>
      <c r="C4" s="2" t="inlineStr">
        <is>
          <t>Tripler x3, in 2.0-2.7 -&gt; out 6.0-8.1 GHz, drive 0..+5 dBm</t>
        </is>
      </c>
      <c r="D4" t="n">
        <v>1</v>
      </c>
      <c r="E4" s="3" t="n">
        <v>73.91</v>
      </c>
      <c r="F4" s="3">
        <f>D4*E4</f>
        <v/>
      </c>
      <c r="G4" t="inlineStr">
        <is>
          <t>&gt;100</t>
        </is>
      </c>
      <c r="H4" t="inlineStr">
        <is>
          <t>check</t>
        </is>
      </c>
      <c r="I4" s="2" t="inlineStr">
        <is>
          <t>Drive at TOP of window (+4.5); CL 15 typ / 22 max</t>
        </is>
      </c>
    </row>
    <row r="5">
      <c r="A5" t="inlineStr">
        <is>
          <t>Tx chain</t>
        </is>
      </c>
      <c r="B5" t="inlineStr">
        <is>
          <t>VHF-4600+</t>
        </is>
      </c>
      <c r="C5" s="2" t="inlineStr">
        <is>
          <t>HPF after tripler - kills F1 leak-through (tripler F1 only 21 dBc min)</t>
        </is>
      </c>
      <c r="D5" t="n">
        <v>1</v>
      </c>
      <c r="E5" s="3" t="n">
        <v>33.81</v>
      </c>
      <c r="F5" s="3">
        <f>D5*E5</f>
        <v/>
      </c>
      <c r="G5" t="inlineStr">
        <is>
          <t>230</t>
        </is>
      </c>
      <c r="H5" t="inlineStr">
        <is>
          <t>check</t>
        </is>
      </c>
      <c r="I5" s="2" t="inlineStr">
        <is>
          <t>Load-bearing filter</t>
        </is>
      </c>
    </row>
    <row r="6">
      <c r="A6" t="inlineStr">
        <is>
          <t>Tx chain</t>
        </is>
      </c>
      <c r="B6" t="inlineStr">
        <is>
          <t>VLF-8400+</t>
        </is>
      </c>
      <c r="C6" s="2" t="inlineStr">
        <is>
          <t>LPF after tripler - kills F4+; F2 residue would x3 into band in doubler</t>
        </is>
      </c>
      <c r="D6" t="n">
        <v>1</v>
      </c>
      <c r="E6" s="3" t="n">
        <v>33.81</v>
      </c>
      <c r="F6" s="3">
        <f>D6*E6</f>
        <v/>
      </c>
      <c r="G6" t="inlineStr">
        <is>
          <t>558</t>
        </is>
      </c>
      <c r="H6" t="inlineStr">
        <is>
          <t>check</t>
        </is>
      </c>
      <c r="I6" s="2" t="inlineStr"/>
    </row>
    <row r="7">
      <c r="A7" t="inlineStr">
        <is>
          <t>Tx chain</t>
        </is>
      </c>
      <c r="B7" t="inlineStr">
        <is>
          <t>ZX60-83LN-S+</t>
        </is>
      </c>
      <c r="C7" s="2" t="inlineStr">
        <is>
          <t>2x interstage amp 6.5-7.7 GHz (G ~19, P1dB ~+18)</t>
        </is>
      </c>
      <c r="D7" t="n">
        <v>2</v>
      </c>
      <c r="E7" s="3" t="n">
        <v>219.09</v>
      </c>
      <c r="F7" s="3">
        <f>D7*E7</f>
        <v/>
      </c>
      <c r="G7" s="4" t="inlineStr">
        <is>
          <t>OUT OF STOCK - ships ~Nov 2026</t>
        </is>
      </c>
      <c r="H7" t="inlineStr">
        <is>
          <t>check</t>
        </is>
      </c>
      <c r="I7" s="2" t="inlineStr">
        <is>
          <t>Biggest cost line</t>
        </is>
      </c>
    </row>
    <row r="8">
      <c r="A8" t="inlineStr">
        <is>
          <t>Rx LO</t>
        </is>
      </c>
      <c r="B8" t="inlineStr">
        <is>
          <t>ZX60-P105LN+</t>
        </is>
      </c>
      <c r="C8" s="2" t="inlineStr">
        <is>
          <t>Front LNA after AWG CH2 (identical front end)</t>
        </is>
      </c>
      <c r="D8" t="n">
        <v>1</v>
      </c>
      <c r="E8" s="3" t="n">
        <v>119.47</v>
      </c>
      <c r="F8" s="3">
        <f>D8*E8</f>
        <v/>
      </c>
      <c r="G8" s="4" t="inlineStr">
        <is>
          <t>OUT OF STOCK - ships ~Nov 2026</t>
        </is>
      </c>
      <c r="H8" t="inlineStr">
        <is>
          <t>check</t>
        </is>
      </c>
      <c r="I8" s="2" t="inlineStr"/>
    </row>
    <row r="9">
      <c r="A9" t="inlineStr">
        <is>
          <t>Rx LO</t>
        </is>
      </c>
      <c r="B9" t="inlineStr">
        <is>
          <t>VBFZ-2340-S+</t>
        </is>
      </c>
      <c r="C9" s="2" t="inlineStr">
        <is>
          <t>BPF before tripler</t>
        </is>
      </c>
      <c r="D9" t="n">
        <v>1</v>
      </c>
      <c r="E9" s="3" t="n">
        <v>54.13</v>
      </c>
      <c r="F9" s="3">
        <f>D9*E9</f>
        <v/>
      </c>
      <c r="G9" t="inlineStr">
        <is>
          <t>&gt;100</t>
        </is>
      </c>
      <c r="H9" t="inlineStr">
        <is>
          <t>check</t>
        </is>
      </c>
      <c r="I9" s="2" t="inlineStr"/>
    </row>
    <row r="10">
      <c r="A10" t="inlineStr">
        <is>
          <t>Rx LO</t>
        </is>
      </c>
      <c r="B10" t="inlineStr">
        <is>
          <t>ZX90-3-812-S+</t>
        </is>
      </c>
      <c r="C10" s="2" t="inlineStr">
        <is>
          <t>Tripler x3</t>
        </is>
      </c>
      <c r="D10" t="n">
        <v>1</v>
      </c>
      <c r="E10" s="3" t="n">
        <v>73.91</v>
      </c>
      <c r="F10" s="3">
        <f>D10*E10</f>
        <v/>
      </c>
      <c r="G10" t="inlineStr">
        <is>
          <t>&gt;100</t>
        </is>
      </c>
      <c r="H10" t="inlineStr">
        <is>
          <t>check</t>
        </is>
      </c>
      <c r="I10" s="2" t="inlineStr"/>
    </row>
    <row r="11">
      <c r="A11" t="inlineStr">
        <is>
          <t>Rx LO</t>
        </is>
      </c>
      <c r="B11" t="inlineStr">
        <is>
          <t>VHF-4600+</t>
        </is>
      </c>
      <c r="C11" s="2" t="inlineStr">
        <is>
          <t>HPF after tripler</t>
        </is>
      </c>
      <c r="D11" t="n">
        <v>1</v>
      </c>
      <c r="E11" s="3" t="n">
        <v>33.81</v>
      </c>
      <c r="F11" s="3">
        <f>D11*E11</f>
        <v/>
      </c>
      <c r="G11" t="inlineStr">
        <is>
          <t>230</t>
        </is>
      </c>
      <c r="H11" t="inlineStr">
        <is>
          <t>check</t>
        </is>
      </c>
      <c r="I11" s="2" t="inlineStr"/>
    </row>
    <row r="12">
      <c r="A12" t="inlineStr">
        <is>
          <t>Rx LO</t>
        </is>
      </c>
      <c r="B12" t="inlineStr">
        <is>
          <t>VLF-8400+</t>
        </is>
      </c>
      <c r="C12" s="2" t="inlineStr">
        <is>
          <t>LPF after tripler</t>
        </is>
      </c>
      <c r="D12" t="n">
        <v>1</v>
      </c>
      <c r="E12" s="3" t="n">
        <v>33.81</v>
      </c>
      <c r="F12" s="3">
        <f>D12*E12</f>
        <v/>
      </c>
      <c r="G12" t="inlineStr">
        <is>
          <t>558</t>
        </is>
      </c>
      <c r="H12" t="inlineStr">
        <is>
          <t>check</t>
        </is>
      </c>
      <c r="I12" s="2" t="inlineStr"/>
    </row>
    <row r="13">
      <c r="A13" t="inlineStr">
        <is>
          <t>Rx LO</t>
        </is>
      </c>
      <c r="B13" t="inlineStr">
        <is>
          <t>ZX60-83LN-S+</t>
        </is>
      </c>
      <c r="C13" s="2" t="inlineStr">
        <is>
          <t>2x interstage amp</t>
        </is>
      </c>
      <c r="D13" t="n">
        <v>2</v>
      </c>
      <c r="E13" s="3" t="n">
        <v>219.09</v>
      </c>
      <c r="F13" s="3">
        <f>D13*E13</f>
        <v/>
      </c>
      <c r="G13" s="4" t="inlineStr">
        <is>
          <t>OUT OF STOCK - contact sales</t>
        </is>
      </c>
      <c r="H13" t="inlineStr">
        <is>
          <t>check</t>
        </is>
      </c>
      <c r="I13" s="2" t="inlineStr"/>
    </row>
    <row r="14">
      <c r="A14" t="inlineStr">
        <is>
          <t>Rx LO</t>
        </is>
      </c>
      <c r="B14" t="inlineStr">
        <is>
          <t>ZX90-2-24-S+</t>
        </is>
      </c>
      <c r="C14" s="2" t="inlineStr">
        <is>
          <t>Doubler x2 (SECOND unit; first is owned and lives in Tx chain)</t>
        </is>
      </c>
      <c r="D14" t="n">
        <v>1</v>
      </c>
      <c r="E14" s="3" t="n">
        <v>106.64</v>
      </c>
      <c r="F14" s="3">
        <f>D14*E14</f>
        <v/>
      </c>
      <c r="G14" s="4" t="inlineStr">
        <is>
          <t>OUT OF STOCK - contact sales</t>
        </is>
      </c>
      <c r="H14" t="inlineStr">
        <is>
          <t>check</t>
        </is>
      </c>
      <c r="I14" s="2" t="inlineStr">
        <is>
          <t>No output amp needed: MixAMC LO wants only -6 dBm</t>
        </is>
      </c>
    </row>
    <row r="15">
      <c r="A15" t="inlineStr">
        <is>
          <t>IF chain</t>
        </is>
      </c>
      <c r="B15" t="inlineStr">
        <is>
          <t>BLK-18-S+</t>
        </is>
      </c>
      <c r="C15" s="2" t="inlineStr">
        <is>
          <t>DC block at MixAMC IF port (until ACST confirms no DC)</t>
        </is>
      </c>
      <c r="D15" t="n">
        <v>1</v>
      </c>
      <c r="E15" s="3" t="n">
        <v>29.73</v>
      </c>
      <c r="F15" s="3">
        <f>D15*E15</f>
        <v/>
      </c>
      <c r="G15" t="inlineStr">
        <is>
          <t>&gt;1000</t>
        </is>
      </c>
      <c r="H15" t="inlineStr">
        <is>
          <t>check</t>
        </is>
      </c>
      <c r="I15" s="2" t="inlineStr"/>
    </row>
    <row r="16">
      <c r="A16" t="inlineStr">
        <is>
          <t>IF chain</t>
        </is>
      </c>
      <c r="B16" t="inlineStr">
        <is>
          <t>VBFZ-780-S+</t>
        </is>
      </c>
      <c r="C16" s="2" t="inlineStr">
        <is>
          <t>IF BPF 710-850 MHz, BEFORE the LNA (kills video transient 60-80 dB)</t>
        </is>
      </c>
      <c r="D16" t="n">
        <v>1</v>
      </c>
      <c r="E16" s="3" t="n">
        <v>54.13</v>
      </c>
      <c r="F16" s="3">
        <f>D16*E16</f>
        <v/>
      </c>
      <c r="G16" t="inlineStr">
        <is>
          <t>55</t>
        </is>
      </c>
      <c r="H16" t="inlineStr">
        <is>
          <t>check</t>
        </is>
      </c>
      <c r="I16" s="2" t="inlineStr">
        <is>
          <t>&gt;=30 dB below 440 MHz and 1.32-16 GHz</t>
        </is>
      </c>
    </row>
    <row r="17">
      <c r="A17" t="inlineStr">
        <is>
          <t>IF chain</t>
        </is>
      </c>
      <c r="B17" t="inlineStr">
        <is>
          <t>ZX60-P105LN+</t>
        </is>
      </c>
      <c r="C17" s="2" t="inlineStr">
        <is>
          <t>Single external IF LNA (internal +20 dB does the rest)</t>
        </is>
      </c>
      <c r="D17" t="n">
        <v>1</v>
      </c>
      <c r="E17" s="3" t="n">
        <v>119.47</v>
      </c>
      <c r="F17" s="3">
        <f>D17*E17</f>
        <v/>
      </c>
      <c r="G17" s="4" t="inlineStr">
        <is>
          <t>OUT OF STOCK - ships ~Nov 2026</t>
        </is>
      </c>
      <c r="H17" t="inlineStr">
        <is>
          <t>check</t>
        </is>
      </c>
      <c r="I17" s="2" t="inlineStr">
        <is>
          <t>Ampless works for first light</t>
        </is>
      </c>
    </row>
    <row r="18">
      <c r="A18" t="inlineStr">
        <is>
          <t>Shared</t>
        </is>
      </c>
      <c r="B18" t="inlineStr">
        <is>
          <t>K5-BW1+</t>
        </is>
      </c>
      <c r="C18" s="2" t="inlineStr">
        <is>
          <t>SMA fixed-attenuator kit (all trim pads: 3 / 6 / 12.5 dB slots)</t>
        </is>
      </c>
      <c r="D18" t="n">
        <v>1</v>
      </c>
      <c r="E18" s="3" t="n">
        <v>378.24</v>
      </c>
      <c r="F18" s="3">
        <f>D18*E18</f>
        <v/>
      </c>
      <c r="G18" s="4" t="inlineStr">
        <is>
          <t>2 (!)</t>
        </is>
      </c>
      <c r="H18" t="inlineStr">
        <is>
          <t>check</t>
        </is>
      </c>
      <c r="I18" s="2" t="inlineStr">
        <is>
          <t>Only 2 kits in stock - order early; verify kit values cover needs</t>
        </is>
      </c>
    </row>
    <row r="19">
      <c r="A19" t="inlineStr">
        <is>
          <t>Shared</t>
        </is>
      </c>
      <c r="B19" t="inlineStr">
        <is>
          <t>141-12SM+</t>
        </is>
      </c>
      <c r="C19" s="2" t="inlineStr">
        <is>
          <t>Hand-Flex 12 in. SMA cables</t>
        </is>
      </c>
      <c r="D19" t="n">
        <v>8</v>
      </c>
      <c r="E19" s="3" t="n">
        <v>17.13</v>
      </c>
      <c r="F19" s="3">
        <f>D19*E19</f>
        <v/>
      </c>
      <c r="G19" t="inlineStr">
        <is>
          <t>&gt;1000</t>
        </is>
      </c>
      <c r="H19" t="inlineStr">
        <is>
          <t>check</t>
        </is>
      </c>
      <c r="I19" s="2" t="inlineStr"/>
    </row>
    <row r="20">
      <c r="E20" s="5" t="inlineStr">
        <is>
          <t>TOTAL</t>
        </is>
      </c>
      <c r="F20" s="6">
        <f>SUM(F2:F19)</f>
        <v/>
      </c>
    </row>
    <row r="22">
      <c r="A22" s="7" t="inlineStr">
        <is>
          <t>Prices = minicircuits.com US list (reference only), fetched 2026-08-05; VAT/shipping/EUR conversion not included. Usual ordering route is Mouser DE / EU distributors - their stock is INDEPENDENT of MCL direct, so the stock-0 flags (ZX60-P105LN+, ZX60-83LN-S+, ZX90-2-24-S+) may not apply there: fill the Mouser/EU stock column manually. CONFIRMED (2026-08-05): the amps ship only ~Nov 2026 -&gt; ORDER THE AMPS FIRST, they are the critical path. Passives all in stock. K5-BW1+ had only 2 kits at MCL direct. November does NOT block first light: SMB100A as Rx LO + ampless IF (internal +20 dB) + interim Tx CW via owned amps (ZX60-123LN-S+ -&gt; ZX60-04183LN+ bridges tripler-&gt;doubler for CW bench work, backoff rule waived for characterization only).</t>
        </is>
      </c>
    </row>
  </sheetData>
  <mergeCells count="1">
    <mergeCell ref="A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46" customWidth="1" min="4" max="4"/>
  </cols>
  <sheetData>
    <row r="1">
      <c r="A1" s="1" t="inlineStr">
        <is>
          <t>Where used</t>
        </is>
      </c>
      <c r="B1" s="1" t="inlineStr">
        <is>
          <t>Part</t>
        </is>
      </c>
      <c r="C1" s="1" t="inlineStr">
        <is>
          <t>Role</t>
        </is>
      </c>
      <c r="D1" s="1" t="inlineStr">
        <is>
          <t>Status / note</t>
        </is>
      </c>
    </row>
    <row r="2">
      <c r="A2" s="2" t="inlineStr">
        <is>
          <t>Tx chain</t>
        </is>
      </c>
      <c r="B2" s="2" t="inlineStr">
        <is>
          <t>ZX90-2-24-S+ (#1)</t>
        </is>
      </c>
      <c r="C2" s="2" t="inlineStr">
        <is>
          <t>Final doubler x2, 12.91-15.42 GHz out</t>
        </is>
      </c>
      <c r="D2" s="2" t="inlineStr">
        <is>
          <t>Owned. CL measured 11.7-12.9 dB on this bench; F1 dip 21.9 dBc at 7.0 GHz is out-of-band (ACST: doesn't matter)</t>
        </is>
      </c>
    </row>
    <row r="3">
      <c r="A3" s="2" t="inlineStr">
        <is>
          <t>Tx chain</t>
        </is>
      </c>
      <c r="B3" s="2" t="inlineStr">
        <is>
          <t>ZX60-04183LN+</t>
        </is>
      </c>
      <c r="C3" s="2" t="inlineStr">
        <is>
          <t>Output amp (G ~9-11 at 14 GHz)</t>
        </is>
      </c>
      <c r="D3" s="2" t="inlineStr">
        <is>
          <t>Owned</t>
        </is>
      </c>
    </row>
    <row r="4">
      <c r="A4" s="2" t="inlineStr">
        <is>
          <t>Tx chain</t>
        </is>
      </c>
      <c r="B4" s="2" t="inlineStr">
        <is>
          <t>PE83IR1023</t>
        </is>
      </c>
      <c r="C4" s="2" t="inlineStr">
        <is>
          <t>Isolator 8-18 GHz before AMC</t>
        </is>
      </c>
      <c r="D4" s="2" t="inlineStr">
        <is>
          <t>Owned</t>
        </is>
      </c>
    </row>
    <row r="5">
      <c r="A5" s="2" t="inlineStr">
        <is>
          <t>Spare</t>
        </is>
      </c>
      <c r="B5" s="2" t="inlineStr">
        <is>
          <t>MMD-0415HS</t>
        </is>
      </c>
      <c r="C5" s="2" t="inlineStr">
        <is>
          <t>Doubler, swap-test only</t>
        </is>
      </c>
      <c r="D5" s="2" t="inlineStr">
        <is>
          <t>Owned. Off-spec at both band tops (7.71 vs 7.5 in / 15.42 vs 15 out) - do not design around</t>
        </is>
      </c>
    </row>
    <row r="6">
      <c r="A6" s="2" t="inlineStr">
        <is>
          <t>Bring-up</t>
        </is>
      </c>
      <c r="B6" s="2" t="inlineStr">
        <is>
          <t>R&amp;S SMB100A</t>
        </is>
      </c>
      <c r="C6" s="2" t="inlineStr">
        <is>
          <t>Interim Rx LO at -6 dBm, locked to shared 10 MHz</t>
        </is>
      </c>
      <c r="D6" s="2" t="inlineStr">
        <is>
          <t>Owned. Fine for CW bring-up; NOT for coherent averaging</t>
        </is>
      </c>
    </row>
    <row r="7">
      <c r="A7" s="2" t="inlineStr">
        <is>
          <t>Tx core</t>
        </is>
      </c>
      <c r="B7" s="2" t="inlineStr">
        <is>
          <t>ACST 1211B-24AL AMC</t>
        </is>
      </c>
      <c r="C7" s="2" t="inlineStr">
        <is>
          <t>x24 to 310-370 GHz; input 0..+7 dBm (typ +5); out +10 dBm typ</t>
        </is>
      </c>
      <c r="D7" s="2" t="inlineStr">
        <is>
          <t>ACST quote A-241209-2</t>
        </is>
      </c>
    </row>
    <row r="8">
      <c r="A8" s="2" t="inlineStr">
        <is>
          <t>Rx core</t>
        </is>
      </c>
      <c r="B8" s="2" t="inlineStr">
        <is>
          <t>ACST MixAMC WR2.8</t>
        </is>
      </c>
      <c r="C8" s="2" t="inlineStr">
        <is>
          <t>x24, 250-400 GHz; LO -8/-6/-2 dBm; internal IF gain +20 dB; CL 6/8/30 dB; usable CL window ~270-370 GHz; spec IF &lt;=1 GHz</t>
        </is>
      </c>
      <c r="D8" s="2" t="inlineStr">
        <is>
          <t>ACST quote A-241209-2. Open: internal IF amp P1dB/recovery; LO abs-max; DC on IF port</t>
        </is>
      </c>
    </row>
    <row r="9">
      <c r="A9" s="2" t="inlineStr">
        <is>
          <t>Both</t>
        </is>
      </c>
      <c r="B9" s="2" t="inlineStr">
        <is>
          <t>2x ACST 527G horn</t>
        </is>
      </c>
      <c r="C9" s="2" t="inlineStr">
        <is>
          <t>WR-2.8 horn antennas (~25 dBi class)</t>
        </is>
      </c>
      <c r="D9" s="2" t="inlineStr">
        <is>
          <t>ACST quote A-241209-2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5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Level out (dBm)</t>
        </is>
      </c>
      <c r="E1" s="1" t="inlineStr">
        <is>
          <t>Note</t>
        </is>
      </c>
    </row>
    <row r="2">
      <c r="A2" t="n">
        <v>1</v>
      </c>
      <c r="B2" t="inlineStr">
        <is>
          <t>AWG CH1, 0.55 Vpp ceiling</t>
        </is>
      </c>
      <c r="C2" t="inlineStr">
        <is>
          <t>-</t>
        </is>
      </c>
      <c r="D2" t="n">
        <v>-5.5</v>
      </c>
      <c r="E2" s="2" t="inlineStr">
        <is>
          <t>Measured (pinned EXA run cw_level_check_2026-07-27), WEAK edge 2.570 GHz; strong edge -4.24 (spread 1.27 dB, absorbed by per-segment scalars / pre-emphasis)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first amp - a pad here costs C/N dB-for-dB</t>
        </is>
      </c>
    </row>
    <row r="4">
      <c r="A4" t="n">
        <v>3</v>
      </c>
      <c r="B4" t="inlineStr">
        <is>
          <t>ZX60-P105LN+</t>
        </is>
      </c>
      <c r="C4" t="n">
        <v>15.5</v>
      </c>
      <c r="D4" t="n">
        <v>9.5</v>
      </c>
      <c r="E4" s="2" t="inlineStr">
        <is>
          <t>NF ~0.9 -&gt; ~164-167 dBc/Hz floor into first multiplier; 9.4 dB below P1dB (+18.9)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 (signal &gt;&gt;100 dB above kT after first amp)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drive window 0..+5 dBm: driven at the TOP (bench rule: diode multipliers worst backed off)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2.152-2.570 -&gt; 6.455-7.710 GHz. CL 15 typ (22 max). F1 only 30/21 dBc -&gt; next filter load-bearing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(2.15-2.57 GHz leak-through)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F4+; F2 residue (4.30-5.14 GHz) would x3 into 12.9-15.4 IN-BAND in the doubler - this is why interstage filters stay despite ACST's out-of-band tolerance</t>
        </is>
      </c>
    </row>
    <row r="10">
      <c r="A10" t="n">
        <v>9</v>
      </c>
      <c r="B10" t="inlineStr">
        <is>
          <t>ZX60-83LN-S+</t>
        </is>
      </c>
      <c r="C10" t="n">
        <v>19</v>
      </c>
      <c r="D10" t="n">
        <v>6</v>
      </c>
      <c r="E10" s="2" t="inlineStr">
        <is>
          <t>12 dB below P1dB (~+18)</t>
        </is>
      </c>
    </row>
    <row r="11">
      <c r="A11" t="n">
        <v>10</v>
      </c>
      <c r="B11" t="inlineStr">
        <is>
          <t>Pad 12.5 dB</t>
        </is>
      </c>
      <c r="C11" t="n">
        <v>-12.5</v>
      </c>
      <c r="D11" t="n">
        <v>-6.5</v>
      </c>
      <c r="E11" s="2" t="inlineStr">
        <is>
          <t>Noise-free level set for second stage</t>
        </is>
      </c>
    </row>
    <row r="12">
      <c r="A12" t="n">
        <v>11</v>
      </c>
      <c r="B12" t="inlineStr">
        <is>
          <t>ZX60-83LN-S+ + cable</t>
        </is>
      </c>
      <c r="C12" t="n">
        <v>18.8</v>
      </c>
      <c r="D12" t="n">
        <v>12.3</v>
      </c>
      <c r="E12" s="2" t="inlineStr">
        <is>
          <t>5.7 dB below P1dB - at the &gt;=5 dB backoff rule edge</t>
        </is>
      </c>
    </row>
    <row r="13">
      <c r="A13" t="n">
        <v>12</v>
      </c>
      <c r="B13" t="inlineStr">
        <is>
          <t>ZX90-2-24-S+  x2 (owned)</t>
        </is>
      </c>
      <c r="C13" t="n">
        <v>-12</v>
      </c>
      <c r="D13" t="n">
        <v>0.3</v>
      </c>
      <c r="E13" s="2" t="inlineStr">
        <is>
          <t>Drive +12.3 vs +11 window floor (1.3 dB margin). CL measured 11.7-12.9. Out 12.91-15.42 GHz</t>
        </is>
      </c>
    </row>
    <row r="14">
      <c r="A14" t="n">
        <v>13</v>
      </c>
      <c r="B14" t="inlineStr">
        <is>
          <t>Pad 3 dB (trim)</t>
        </is>
      </c>
      <c r="C14" t="n">
        <v>-3</v>
      </c>
      <c r="D14" t="n">
        <v>-2.7</v>
      </c>
      <c r="E14" s="2" t="inlineStr">
        <is>
          <t>Set on bench to land the AMC at ~+5</t>
        </is>
      </c>
    </row>
    <row r="15">
      <c r="A15" t="n">
        <v>14</v>
      </c>
      <c r="B15" t="inlineStr">
        <is>
          <t>ZX60-04183LN+ (owned)</t>
        </is>
      </c>
      <c r="C15" t="n">
        <v>9</v>
      </c>
      <c r="D15" t="n">
        <v>6.3</v>
      </c>
      <c r="E15" s="2" t="inlineStr">
        <is>
          <t>G ~9-11 at 14 GHz; ~9 dB backoff</t>
        </is>
      </c>
    </row>
    <row r="16">
      <c r="A16" t="n">
        <v>15</v>
      </c>
      <c r="B16" t="inlineStr">
        <is>
          <t>PE83IR1023 isolator (owned)</t>
        </is>
      </c>
      <c r="C16" t="n">
        <v>-0.9</v>
      </c>
      <c r="D16" t="n">
        <v>5.4</v>
      </c>
      <c r="E16" s="2" t="inlineStr">
        <is>
          <t>Protects doubler/amp from AMC input reflections</t>
        </is>
      </c>
    </row>
    <row r="17">
      <c r="A17" t="n">
        <v>16</v>
      </c>
      <c r="B17" t="inlineStr">
        <is>
          <t>Cable to AMC</t>
        </is>
      </c>
      <c r="C17" t="n">
        <v>-0.6</v>
      </c>
      <c r="D17" t="n">
        <v>4.8</v>
      </c>
      <c r="E17" s="2" t="inlineStr">
        <is>
          <t>AMC window 0..+7 dBm, typ +5: lands mid-window; no output filter (ACST: out-of-band content doesn't matter)</t>
        </is>
      </c>
    </row>
    <row r="19">
      <c r="B19" s="2" t="inlineStr">
        <is>
          <t>Design values (datasheet gains + measured AWG scan + measured doubler CL). Verify each stage with run_insert difference sweeps at build time.</t>
        </is>
      </c>
    </row>
  </sheetData>
  <mergeCells count="1"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4" customWidth="1" min="3" max="3"/>
    <col width="15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Level out (dBm)</t>
        </is>
      </c>
      <c r="E1" s="1" t="inlineStr">
        <is>
          <t>Note</t>
        </is>
      </c>
    </row>
    <row r="2">
      <c r="A2" t="n">
        <v>1</v>
      </c>
      <c r="B2" t="inlineStr">
        <is>
          <t>AWG CH2 CW, 0.55 Vpp ceiling</t>
        </is>
      </c>
      <c r="C2" t="inlineStr">
        <is>
          <t>-</t>
        </is>
      </c>
      <c r="D2" t="n">
        <v>-5.5</v>
      </c>
      <c r="E2" s="2" t="inlineStr">
        <is>
          <t>Same measured band as CH1. Per-segment CH2 amplitude scalars are LOAD-BEARING: hold -6.0 dBm across the 1.3 dB tilt AND keep MixAMC CL drive-constant across segments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first amp - a pad here costs C/N dB-for-dB</t>
        </is>
      </c>
    </row>
    <row r="4">
      <c r="A4" t="n">
        <v>3</v>
      </c>
      <c r="B4" t="inlineStr">
        <is>
          <t>ZX60-P105LN+</t>
        </is>
      </c>
      <c r="C4" t="n">
        <v>15.5</v>
      </c>
      <c r="D4" t="n">
        <v>9.5</v>
      </c>
      <c r="E4" s="2" t="inlineStr">
        <is>
          <t>NF ~0.9 -&gt; ~164-167 dBc/Hz floor into first multiplier; 9.4 dB below P1dB (+18.9)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 (signal &gt;&gt;100 dB above kT after first amp)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drive window 0..+5 dBm: driven at the TOP (bench rule: diode multipliers worst backed off)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2.152-2.570 -&gt; 6.455-7.710 GHz. CL 15 typ (22 max). F1 only 30/21 dBc -&gt; next filter load-bearing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(2.15-2.57 GHz leak-through)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F4+; F2 residue (4.30-5.14 GHz) would x3 into 12.9-15.4 IN-BAND in the doubler - this is why interstage filters stay despite ACST's out-of-band tolerance</t>
        </is>
      </c>
    </row>
    <row r="10">
      <c r="A10" t="n">
        <v>9</v>
      </c>
      <c r="B10" t="inlineStr">
        <is>
          <t>ZX60-83LN-S+</t>
        </is>
      </c>
      <c r="C10" t="n">
        <v>19</v>
      </c>
      <c r="D10" t="n">
        <v>6</v>
      </c>
      <c r="E10" s="2" t="inlineStr">
        <is>
          <t>12 dB below P1dB (~+18)</t>
        </is>
      </c>
    </row>
    <row r="11">
      <c r="A11" t="n">
        <v>10</v>
      </c>
      <c r="B11" t="inlineStr">
        <is>
          <t>Pad 12.5 dB</t>
        </is>
      </c>
      <c r="C11" t="n">
        <v>-12.5</v>
      </c>
      <c r="D11" t="n">
        <v>-6.5</v>
      </c>
      <c r="E11" s="2" t="inlineStr">
        <is>
          <t>Noise-free level set for second stage</t>
        </is>
      </c>
    </row>
    <row r="12">
      <c r="A12" t="n">
        <v>11</v>
      </c>
      <c r="B12" t="inlineStr">
        <is>
          <t>ZX60-83LN-S+ + cable</t>
        </is>
      </c>
      <c r="C12" t="n">
        <v>18.8</v>
      </c>
      <c r="D12" t="n">
        <v>12.3</v>
      </c>
      <c r="E12" s="2" t="inlineStr">
        <is>
          <t>5.7 dB below P1dB - at the &gt;=5 dB backoff rule edge</t>
        </is>
      </c>
    </row>
    <row r="13">
      <c r="A13" t="n">
        <v>12</v>
      </c>
      <c r="B13" t="inlineStr">
        <is>
          <t>ZX90-2-24-S+  x2 (owned)</t>
        </is>
      </c>
      <c r="C13" t="n">
        <v>-12</v>
      </c>
      <c r="D13" t="n">
        <v>0.3</v>
      </c>
      <c r="E13" s="2" t="inlineStr">
        <is>
          <t>Drive +12.3 vs +11 window floor (1.3 dB margin). CL measured 11.7-12.9. Out 12.91-15.42 GHz</t>
        </is>
      </c>
    </row>
    <row r="14">
      <c r="A14" t="n">
        <v>13</v>
      </c>
      <c r="B14" t="inlineStr">
        <is>
          <t>Pad 6 dB</t>
        </is>
      </c>
      <c r="C14" t="n">
        <v>-6</v>
      </c>
      <c r="D14" t="n">
        <v>-5.7</v>
      </c>
      <c r="E14" s="2" t="inlineStr">
        <is>
          <t>MixAMC LO window -8 / -6 typ / -2 MAX dBm -&gt; lands at typ. NEVER exceed -2: verify on EXA before first connect</t>
        </is>
      </c>
    </row>
    <row r="16">
      <c r="B16" s="2" t="inlineStr">
        <is>
          <t>Identical to Tx chain through the doubler (second units of every part), then just a pad - NO output amp, NO isolator (6 dB pad gives 12 dB return isolation for a CW LO). CW at every stage -&gt; build and characterize this chain FIRST, clone settings to Tx.</t>
        </is>
      </c>
    </row>
  </sheetData>
  <mergeCells count="1">
    <mergeCell ref="B16:E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5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#</t>
        </is>
      </c>
      <c r="B1" s="1" t="inlineStr">
        <is>
          <t>Stage</t>
        </is>
      </c>
      <c r="C1" s="1" t="inlineStr">
        <is>
          <t>Gain/Loss (dB)</t>
        </is>
      </c>
      <c r="D1" s="1" t="inlineStr">
        <is>
          <t>FID path (dBm)</t>
        </is>
      </c>
      <c r="E1" s="1" t="inlineStr">
        <is>
          <t>Leak, Tx typ (dBm)</t>
        </is>
      </c>
      <c r="F1" s="1" t="inlineStr">
        <is>
          <t>Leak, Tx max (dBm)</t>
        </is>
      </c>
      <c r="G1" s="1" t="inlineStr">
        <is>
          <t>Note</t>
        </is>
      </c>
    </row>
    <row r="2">
      <c r="A2" t="n">
        <v>1</v>
      </c>
      <c r="B2" s="2" t="inlineStr">
        <is>
          <t>Tx AMC output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+10</t>
        </is>
      </c>
      <c r="F2" s="2" t="inlineStr">
        <is>
          <t>+17</t>
        </is>
      </c>
      <c r="G2" s="2" t="inlineStr">
        <is>
          <t>310-370 GHz; +8 min / +10 typ / +17 max</t>
        </is>
      </c>
    </row>
    <row r="3">
      <c r="A3" t="n">
        <v>2</v>
      </c>
      <c r="B3" s="2" t="inlineStr">
        <is>
          <t>Horn-horn coupling, &gt;=0.5 m</t>
        </is>
      </c>
      <c r="C3" s="2" t="n">
        <v>-27</v>
      </c>
      <c r="D3" s="2" t="inlineStr">
        <is>
          <t>S (FID at Rx horn)</t>
        </is>
      </c>
      <c r="E3" s="2" t="inlineStr">
        <is>
          <t>-17</t>
        </is>
      </c>
      <c r="F3" s="2" t="inlineStr">
        <is>
          <t>-10</t>
        </is>
      </c>
      <c r="G3" s="2" t="inlineStr">
        <is>
          <t>Friis, ~25 dBi facing horns. MEASURE with detector before mixer is ever in beam. Mixer: linear &lt;-10, DAMAGE 0 dBm -&gt; typ leak is inside the LINEAR range</t>
        </is>
      </c>
    </row>
    <row r="4">
      <c r="A4" t="n">
        <v>3</v>
      </c>
      <c r="B4" s="2" t="inlineStr">
        <is>
          <t>MixAMC net (CL -8 + IF amp +20)</t>
        </is>
      </c>
      <c r="C4" s="2" t="n">
        <v>12</v>
      </c>
      <c r="D4" s="2" t="inlineStr">
        <is>
          <t>S+12</t>
        </is>
      </c>
      <c r="E4" s="2" t="inlineStr">
        <is>
          <t>-5</t>
        </is>
      </c>
      <c r="F4" s="2" t="inlineStr">
        <is>
          <t>+2</t>
        </is>
      </c>
      <c r="G4" s="2" t="inlineStr">
        <is>
          <t>Internal IF amp P1dB unknown - the remaining dead-time question for ACST</t>
        </is>
      </c>
    </row>
    <row r="5">
      <c r="A5" t="n">
        <v>4</v>
      </c>
      <c r="B5" s="2" t="inlineStr">
        <is>
          <t>BLK-18-S+ DC block</t>
        </is>
      </c>
      <c r="C5" s="2" t="n">
        <v>-0.2</v>
      </c>
      <c r="D5" s="2" t="inlineStr">
        <is>
          <t>S+11.8</t>
        </is>
      </c>
      <c r="E5" s="2" t="inlineStr">
        <is>
          <t>-5.2</t>
        </is>
      </c>
      <c r="F5" s="2" t="inlineStr">
        <is>
          <t>+1.8</t>
        </is>
      </c>
      <c r="G5" s="2" t="inlineStr"/>
    </row>
    <row r="6">
      <c r="A6" t="n">
        <v>5</v>
      </c>
      <c r="B6" s="2" t="inlineStr">
        <is>
          <t>VBFZ-780-S+ IF BPF</t>
        </is>
      </c>
      <c r="C6" s="2" t="n">
        <v>-1.8</v>
      </c>
      <c r="D6" s="2" t="inlineStr">
        <is>
          <t>S+10</t>
        </is>
      </c>
      <c r="E6" s="2" t="inlineStr">
        <is>
          <t>-7</t>
        </is>
      </c>
      <c r="F6" s="2" t="inlineStr">
        <is>
          <t>0</t>
        </is>
      </c>
      <c r="G6" s="2" t="inlineStr">
        <is>
          <t>BEFORE the LNA: video/LF transient killed 60-80 dB pre-amplification; IL costs only ~0.03 dB NF behind the internal +20 dB</t>
        </is>
      </c>
    </row>
    <row r="7">
      <c r="A7" t="n">
        <v>6</v>
      </c>
      <c r="B7" s="2" t="inlineStr">
        <is>
          <t>ZX60-P105LN+</t>
        </is>
      </c>
      <c r="C7" s="2" t="n">
        <v>15.5</v>
      </c>
      <c r="D7" s="2" t="inlineStr">
        <is>
          <t>S+25.5</t>
        </is>
      </c>
      <c r="E7" s="2" t="inlineStr">
        <is>
          <t>+8.5</t>
        </is>
      </c>
      <c r="F7" s="2" t="inlineStr">
        <is>
          <t>+15.5</t>
        </is>
      </c>
      <c r="G7" s="2" t="inlineStr">
        <is>
          <t>Leak: 10.4 dB below P1dB at typ (linear!); 3.4 dB at AMC max (mild compression)</t>
        </is>
      </c>
    </row>
    <row r="8">
      <c r="A8" t="n">
        <v>7</v>
      </c>
      <c r="B8" s="2" t="inlineStr">
        <is>
          <t>MSO64B, 50 ohm</t>
        </is>
      </c>
      <c r="C8" s="2" t="inlineStr">
        <is>
          <t>-</t>
        </is>
      </c>
      <c r="D8" s="2" t="inlineStr">
        <is>
          <t>record</t>
        </is>
      </c>
      <c r="E8" s="2" t="inlineStr">
        <is>
          <t>0.60 V RMS</t>
        </is>
      </c>
      <c r="F8" s="2" t="inlineStr">
        <is>
          <t>1.34 V RMS</t>
        </is>
      </c>
      <c r="G8" s="2" t="inlineStr">
        <is>
          <t>50-ohm max 5 V RMS - safe. Detection window opens AFTER chirp ends: leak never appears in recorded data, it only sets settling</t>
        </is>
      </c>
    </row>
    <row r="10">
      <c r="B10" s="2" t="inlineStr">
        <is>
          <t>Noise: system NF ~ CL 8 + internal amp ~2 = ~10 dB DSB. Density at scope = -174 +10 +12 -2 +15.5 = -138.5 dBm/Hz, ~16 dB above scope front-end floor -&gt; scope contributes ~0.1 dB. Single-sideband detection of a DSB mixer with unexcited image = +3 dB noise fold (standard, accepted).</t>
        </is>
      </c>
    </row>
  </sheetData>
  <mergeCells count="1">
    <mergeCell ref="B10:G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Topic</t>
        </is>
      </c>
      <c r="B1" s="1" t="inlineStr">
        <is>
          <t>Statement</t>
        </is>
      </c>
    </row>
    <row r="2" ht="45" customHeight="1">
      <c r="A2" s="5" t="inlineStr">
        <is>
          <t>Multiplication</t>
        </is>
      </c>
      <c r="B2" s="2" t="inlineStr">
        <is>
          <t>AWG 2.152-2.570 GHz -&gt; x3 (ZX90-3-812) -&gt; 6.455-7.710 -&gt; x2 (ZX90-2-24) -&gt; 12.91-15.42 -&gt; x24 (AMC / MixAMC) -&gt; 310-370 GHz. Total x144 = 43.2 dB phase-noise growth (2.5 dB better than the x8 route).</t>
        </is>
      </c>
    </row>
    <row r="3" ht="45" customHeight="1">
      <c r="A3" s="5" t="inlineStr">
        <is>
          <t>Segmentation</t>
        </is>
      </c>
      <c r="B3" s="2" t="inlineStr">
        <is>
          <t>~100 MHz output segments = ~4.2 MHz baseband chirps, DUC NCO-stepped; ~120 segments tile 310-370 GHz. CH1 (chirp) and CH2 (CW LO) share one AWG buffer -&gt; shot-to-shot phase coherence by construction.</t>
        </is>
      </c>
    </row>
    <row r="4" ht="45" customHeight="1">
      <c r="A4" s="5" t="inlineStr">
        <is>
          <t>Rx LO placement</t>
        </is>
      </c>
      <c r="B4" s="2" t="inlineStr">
        <is>
          <t>24*f_LO,Rx = segment LOW edge - 730 MHz (LO always BELOW the segment). Keeps the LO &lt;= 369.3 GHz, inside the MixAMC's good-CL window (~270-370), and maps the whole segment to ONE sideband, non-inverted.</t>
        </is>
      </c>
    </row>
    <row r="5" ht="45" customHeight="1">
      <c r="A5" s="5" t="inlineStr">
        <is>
          <t>AWG offset</t>
        </is>
      </c>
      <c r="B5" s="2" t="inlineStr">
        <is>
          <t>f_CH2 = (f_seg,low - 0.730 GHz)/144 -&gt; CH2 sits 5.417 MHz below the CH1 segment-center equivalent (for 100 MHz segments). Steps in lockstep with CH1's NCO.</t>
        </is>
      </c>
    </row>
    <row r="6" ht="45" customHeight="1">
      <c r="A6" s="5" t="inlineStr">
        <is>
          <t>IF band</t>
        </is>
      </c>
      <c r="B6" s="2" t="inlineStr">
        <is>
          <t>Segment maps to IF 730-830 MHz - inside VBFZ-780 passband (710-850, 20 MHz margin each side) and inside the MixAMC's SPECIFIED &lt;=1 GHz IF band. The bare 316G mixer core works to 40 GHz; the &lt;=1 GHz spec is the internal +20 dB IF amp's band, and gain/flatness are only guaranteed there -&gt; stay below 1 GHz (user decision 2026-08-05).</t>
        </is>
      </c>
    </row>
    <row r="7" ht="45" customHeight="1">
      <c r="A7" s="5" t="inlineStr">
        <is>
          <t>Image band</t>
        </is>
      </c>
      <c r="B7" s="2" t="inlineStr">
        <is>
          <t>DSB mixer: image = LO - IF = 1.46 GHz below the segment low edge. Unexcited (FID only comes from the currently excited segment) -&gt; contributes only the standard 3 dB DSB noise fold, no spectral ambiguity.</t>
        </is>
      </c>
    </row>
    <row r="8" ht="45" customHeight="1">
      <c r="A8" s="5" t="inlineStr">
        <is>
          <t>What is detected</t>
        </is>
      </c>
      <c r="B8" s="2" t="inlineStr">
        <is>
          <t>Detection window opens only AFTER the chirp ends: recorded data contains ONLY FID x LO. The chirp-leak beat (sweeps 730-830 MHz during excitation, since leak and LO mix while the chirp is on) never contaminates spectra - it only matters for mixer safety (OK: -17 dBm &lt; -10 linear limit) and IF/scope settling before the window.</t>
        </is>
      </c>
    </row>
    <row r="9" ht="45" customHeight="1">
      <c r="A9" s="5" t="inlineStr">
        <is>
          <t>In-band spur logic</t>
        </is>
      </c>
      <c r="B9" s="2" t="inlineStr">
        <is>
          <t>Interstage filters exist to prevent IN-band products: tripler F2 residue (4.30-5.14 GHz) x3 in the doubler would land at 12.9-15.4 GHz; LNA harmonics likewise. Out-of-band content at AMC/MixAMC inputs doesn't matter (ACST, 2026-08-05, qualitative - written dBc limit still requested).</t>
        </is>
      </c>
    </row>
    <row r="10" ht="45" customHeight="1">
      <c r="A10" s="5" t="inlineStr">
        <is>
          <t>Scope</t>
        </is>
      </c>
      <c r="B10" s="2" t="inlineStr">
        <is>
          <t>MSO64B, 25 GS/s, common 10 MHz ref with AWG, triggered on AWG marker. IF band 730-830 MHz clears the scope's own 1.5 GHz comb. 270-310 GHz of the MixAMC window is dead margin: the Tx AMC starts at 310 GHz.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16" customWidth="1" min="4" max="4"/>
    <col width="34" customWidth="1" min="5" max="5"/>
    <col width="52" customWidth="1" min="6" max="6"/>
  </cols>
  <sheetData>
    <row r="1">
      <c r="A1" s="1" t="inlineStr">
        <is>
          <t>Slot</t>
        </is>
      </c>
      <c r="B1" s="1" t="inlineStr">
        <is>
          <t>Design part (ships ~Nov)</t>
        </is>
      </c>
      <c r="C1" s="1" t="inlineStr">
        <is>
          <t>In-stock alternate (2026-08-05)</t>
        </is>
      </c>
      <c r="D1" s="1" t="inlineStr">
        <is>
          <t>Alt USD / stock</t>
        </is>
      </c>
      <c r="E1" s="1" t="inlineStr">
        <is>
          <t>Verified specs (datasheet)</t>
        </is>
      </c>
      <c r="F1" s="1" t="inlineStr">
        <is>
          <t>Consequence</t>
        </is>
      </c>
    </row>
    <row r="2" ht="68" customHeight="1">
      <c r="A2" s="2" t="inlineStr">
        <is>
          <t>Front LNA, Tx</t>
        </is>
      </c>
      <c r="B2" s="2" t="inlineStr">
        <is>
          <t>ZX60-P105LN+</t>
        </is>
      </c>
      <c r="C2" s="2" t="inlineStr">
        <is>
          <t>OWNED ZX60-H242+ (interim)</t>
        </is>
      </c>
      <c r="D2" s="2" t="inlineStr">
        <is>
          <t>0</t>
        </is>
      </c>
      <c r="E2" s="2" t="inlineStr">
        <is>
          <t>At 2.4 GHz: G 12.9, NF 3.0, P1dB +23.2 (16 dB backoff!). Spec ends at 2.4 GHz - our band tops at 2.57</t>
        </is>
      </c>
      <c r="F2" s="2" t="inlineStr">
        <is>
          <t>FREE bridge; was the x8 chain's front amp. GATE: 10-min EXA gain-tilt check 2.4-2.57 GHz first. ~2 dB C/N penalty vs design for 3 months. Contingency if the edge check fails: ZRL-3500+ ($185.88, 47 stock, SMA; NF 2.3, G 22, P1dB +24)</t>
        </is>
      </c>
    </row>
    <row r="3" ht="68" customHeight="1">
      <c r="A3" s="2" t="inlineStr">
        <is>
          <t>Front LNA, Rx LO</t>
        </is>
      </c>
      <c r="B3" s="2" t="inlineStr">
        <is>
          <t>ZX60-P105LN+</t>
        </is>
      </c>
      <c r="C3" s="2" t="inlineStr">
        <is>
          <t>OWNED ZX60-123LN-S+</t>
        </is>
      </c>
      <c r="D3" s="2" t="inlineStr">
        <is>
          <t>0</t>
        </is>
      </c>
      <c r="E3" s="2" t="inlineStr">
        <is>
          <t>In-spec 0.5-12 GHz; at 2 GHz: NF 2.1 (best NF on hand), G 18.9, P1dB +16.5</t>
        </is>
      </c>
      <c r="F3" s="2" t="inlineStr">
        <is>
          <t>Only 2-4 dB backoff at full AWG drive - fine HERE because the LO is CW (no envelope -&gt; no AM-PM dynamics; per-segment scalars hold drive constant). NOT usable in the Tx front slot for the same reason</t>
        </is>
      </c>
    </row>
    <row r="4" ht="68" customHeight="1">
      <c r="A4" s="2" t="inlineStr">
        <is>
          <t>Interstage, per chain (was 2x ZX60-83LN-S+ + 12.5 dB pad)</t>
        </is>
      </c>
      <c r="B4" s="2" t="inlineStr">
        <is>
          <t>2x ZX60-83LN-S+</t>
        </is>
      </c>
      <c r="C4" s="2" t="inlineStr">
        <is>
          <t>2x TB-830A+ per chain (eval board of PMA3-83LN+ = the SAME MMIC inside the ZX60-83LN-S+)</t>
        </is>
      </c>
      <c r="D4" s="2" t="inlineStr">
        <is>
          <t>141.61 / MMIC &gt;1000</t>
        </is>
      </c>
      <c r="E4" s="2" t="inlineStr">
        <is>
          <t>PMA3-83LN+: 0.5-8 GHz, G ~19.5, P1dB ~+19.5, NF ~1.4 - the numbers the ZX60-83LN spec derives from</t>
        </is>
      </c>
      <c r="F4" s="2" t="inlineStr">
        <is>
          <t>Electrically the original design (19+19-12.5 pad plan unchanged). USER REQUIREMENT: must ship WITH SMA connectors - standard for MCL TB test-board format but NOT shown on the page: CONFIRM connectors + board lead time with MCL/Mouser before ordering. Open PCB: needs +5 V bench-supply wiring, no enclosure - acceptable for a 3-month bridge. FALLBACK: ZVA-183-S+ (SMA, $1,732.64, &gt;10 stock) - works but overkill money for an interim</t>
        </is>
      </c>
    </row>
    <row r="5" ht="68" customHeight="1">
      <c r="A5" s="2" t="inlineStr">
        <is>
          <t>IF amp</t>
        </is>
      </c>
      <c r="B5" s="2" t="inlineStr">
        <is>
          <t>ZX60-P105LN+</t>
        </is>
      </c>
      <c r="C5" s="2" t="inlineStr">
        <is>
          <t>NONE - run ampless (interim)</t>
        </is>
      </c>
      <c r="D5" s="2" t="inlineStr">
        <is>
          <t>0</t>
        </is>
      </c>
      <c r="E5" s="2" t="inlineStr">
        <is>
          <t>MixAMC internal +20 dB carries it; receiver floor only ~3 dB above scope floor bare</t>
        </is>
      </c>
      <c r="F5" s="2" t="inlineStr">
        <is>
          <t>~1.8 dB NF penalty until Nov - fine for bring-up. (If ZRL is bought for the Tx front, the freed H242 can take the IF slot instead: 730-830 in its band, P1dB +22.5 = 14 dB leak headroom.) ZFL-1000LN+ REJECTED: P1dB +3 clips 10 dB on the leak</t>
        </is>
      </c>
    </row>
    <row r="6" ht="68" customHeight="1">
      <c r="A6" s="2" t="inlineStr">
        <is>
          <t>Doubler #2, Rx LO</t>
        </is>
      </c>
      <c r="B6" s="2" t="inlineStr">
        <is>
          <t>ZX90-2-24-S+ (lead unknown - ask)</t>
        </is>
      </c>
      <c r="C6" s="2" t="inlineStr">
        <is>
          <t>owned MMD-0415HS bridge</t>
        </is>
      </c>
      <c r="D6" s="2" t="inlineStr">
        <is>
          <t>0</t>
        </is>
      </c>
      <c r="E6" s="2" t="inlineStr">
        <is>
          <t>Off-spec at both band tops (7.71 vs 7.5 in / 15.42 vs 15 out); measured on this bench in x8 campaign</t>
        </is>
      </c>
      <c r="F6" s="2" t="inlineStr">
        <is>
          <t>CW-tolerable bridge; measurement gate already planned; swap when the ZX90 ships. NOTE: KSX2-24+ ($6.88, &gt;1000 stock) is the same die as the ZX90-2-24-S+; TB-KSX2-24+ board exists</t>
        </is>
      </c>
    </row>
    <row r="7" ht="68" customHeight="1">
      <c r="A7" s="2" t="inlineStr">
        <is>
          <t>DECISION PENDING PRICE (user 2026-08-05): low-drive doubler, both chains</t>
        </is>
      </c>
      <c r="B7" s="2" t="inlineStr">
        <is>
          <t>-</t>
        </is>
      </c>
      <c r="C7" s="2" t="inlineStr">
        <is>
          <t>2x Marki MMD-1030LS</t>
        </is>
      </c>
      <c r="D7" s="2" t="inlineStr">
        <is>
          <t>check shop.markimicrowave / RFMW / Mouser</t>
        </is>
      </c>
      <c r="E7" s="2" t="inlineStr">
        <is>
          <t>In 5-15 GHz, out 10-30, drive 5-15 nom +7, CL 12.5/14, F1 38 dBc, F3 46 dBc, SMA in / 2.92 out</t>
        </is>
      </c>
      <c r="F7" s="2" t="inlineStr">
        <is>
          <t>Makes the interstage SINGLE-amp: 1x TB-830A+ (+19.8, 12.7 dB backoff) -&gt; +6.8 dBm -&gt; doubler. Rx: out -5.7 dBm = the MixAMC's -6 target with zero further parts; no ZX90 #2 needed. Tx: +6.8 is 8 dB below window top -&gt; GATE with run_am_pm A/B vs owned ZX90 before committing; fallback = owned ZX90 + 2x TB. If adopted, Nov 83LN order shrinks 4 -&gt; 2 (or 0). (Also verified: MITEQ MX2J080160-2C, drive 3-8 dBm = top-of-window at +6.8, CL 11, F1 only 20 dBc, quote/surplus only)</t>
        </is>
      </c>
    </row>
    <row r="8" ht="68" customHeight="1">
      <c r="A8" s="2" t="inlineStr">
        <is>
          <t>Reorder option (Rx-only fallback)</t>
        </is>
      </c>
      <c r="B8" s="2" t="inlineStr">
        <is>
          <t>-</t>
        </is>
      </c>
      <c r="C8" s="2" t="inlineStr">
        <is>
          <t>doubler-first x6: owned MMD-0415HS -&gt; ZX60-V63+ -&gt; ZXF90-3-223-K+</t>
        </is>
      </c>
      <c r="D8" s="2" t="inlineStr">
        <is>
          <t>92.90/&gt;100 + 575.00/12</t>
        </is>
      </c>
      <c r="E8" s="2" t="inlineStr">
        <is>
          <t>V63: 0.05-6 GHz G 20 P1dB +18.3. ZXF90: in 3.33-7.33, out 10-22, drive +12-18, CL 16.5</t>
        </is>
      </c>
      <c r="F8" s="2" t="inlineStr">
        <is>
          <t>All in stock; post-ACST the old F4 objection is dead (out-of-band). BUT the tripler gets driven at the BOTTOM of its +12-18 window (V63 P1dB limits) - violates the drive-at-top AM-PM rule for the CHIRP, so Tx keeps tripler-first; only worth considering for the CW Rx LO chain if the TB boards fall through</t>
        </is>
      </c>
    </row>
    <row r="9" ht="68" customHeight="1">
      <c r="A9" s="2" t="inlineStr">
        <is>
          <t>Rejected alternates</t>
        </is>
      </c>
      <c r="B9" s="2" t="inlineStr">
        <is>
          <t>-</t>
        </is>
      </c>
      <c r="C9" s="2" t="inlineStr">
        <is>
          <t>ZX60-P33ULN+ / ZX60-33LN-S+ / ZVE-8G+ / ZFL-1000LN+</t>
        </is>
      </c>
      <c r="D9" s="2" t="inlineStr">
        <is>
          <t>-</t>
        </is>
      </c>
      <c r="E9" s="2" t="inlineStr">
        <is>
          <t>P33ULN: $152.68 stock 0. 33LN-S+: non-catalog. ZVE-8G+: $1,899, in stock, works (G 30, P1dB +30) but no advantage over ZVA here. ZFL-1000LN+: P1dB too low</t>
        </is>
      </c>
      <c r="F9" s="2" t="inlineStr"/>
    </row>
    <row r="11" ht="60" customHeight="1">
      <c r="A11" s="8" t="inlineStr">
        <is>
          <t>PLAN OF RECORD 2026-08-05: price-check 2x MMD-1030LS (Mouser/Marki/RFMW when up); if sane, buy both + 2x TB-830A+ and bench-verify (run_insert CL/spurs at +6.8 dBm, run_am_pm for the Tx unit). INTERIM-UNTIL-NOVEMBER PLAN otherwise (this sheet is a BRIDGE, not the final design):  new interim spend = 4x TB-830A+ ~ $566 (pending SMA + lead-time confirmation); everything else bridged free (H242 -&gt; Tx front after edge check, 123LN -&gt; Rx LO front, IF ampless, MMD-0415HS -&gt; Rx doubler). Contingency +$186 (ZRL-3500+) if the H242 edge check fails. Passives ($990) are PERMANENT design parts - order now regardless. KEEP THE FULL November order (3x P105LN, 4x 83LN, ZX90-2-24 #2 = the final, better-performing parts); in November the interims retire to spares/bench amps.</t>
        </is>
      </c>
    </row>
  </sheetData>
  <mergeCells count="1">
    <mergeCell ref="A11:F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14" customWidth="1" min="3" max="3"/>
    <col width="15" customWidth="1" min="4" max="4"/>
    <col width="60" customWidth="1" min="5" max="5"/>
  </cols>
  <sheetData>
    <row r="1">
      <c r="A1" s="9" t="inlineStr">
        <is>
          <t>Tx chain - AWG CH1 to AMC (weak-edge design values)</t>
        </is>
      </c>
    </row>
    <row r="2">
      <c r="A2" t="n">
        <v>1</v>
      </c>
      <c r="B2" t="inlineStr">
        <is>
          <t>AWG CH1, 0.55 Vpp ceiling</t>
        </is>
      </c>
      <c r="C2" t="inlineStr">
        <is>
          <t>-</t>
        </is>
      </c>
      <c r="D2" t="n">
        <v>-5.5</v>
      </c>
      <c r="E2" s="2" t="inlineStr">
        <is>
          <t>Measured (pinned EXA run), WEAK edge 2.570 GHz; strong edge -4.24; per-segment scalars + chirp pre-emphasis absorb the tilt</t>
        </is>
      </c>
    </row>
    <row r="3">
      <c r="A3" t="n">
        <v>2</v>
      </c>
      <c r="B3" t="inlineStr">
        <is>
          <t>Cable</t>
        </is>
      </c>
      <c r="C3" t="n">
        <v>-0.5</v>
      </c>
      <c r="D3" t="n">
        <v>-6</v>
      </c>
      <c r="E3" s="2" t="inlineStr">
        <is>
          <t>No pad before the first amp</t>
        </is>
      </c>
    </row>
    <row r="4">
      <c r="A4" t="n">
        <v>3</v>
      </c>
      <c r="B4" t="inlineStr">
        <is>
          <t>ZX60-P105LN+ (Nov; interim H242/ZRL)</t>
        </is>
      </c>
      <c r="C4" t="n">
        <v>15.5</v>
      </c>
      <c r="D4" t="n">
        <v>9.5</v>
      </c>
      <c r="E4" s="2" t="inlineStr">
        <is>
          <t>NF ~0.9; 9.4 dB below P1dB</t>
        </is>
      </c>
    </row>
    <row r="5">
      <c r="A5" t="n">
        <v>4</v>
      </c>
      <c r="B5" t="inlineStr">
        <is>
          <t>Pad 3 dB</t>
        </is>
      </c>
      <c r="C5" t="n">
        <v>-3</v>
      </c>
      <c r="D5" t="n">
        <v>6.5</v>
      </c>
      <c r="E5" s="2" t="inlineStr">
        <is>
          <t>Noise-free trim</t>
        </is>
      </c>
    </row>
    <row r="6">
      <c r="A6" t="n">
        <v>5</v>
      </c>
      <c r="B6" t="inlineStr">
        <is>
          <t>VBFZ-2340-S+ + interconnect</t>
        </is>
      </c>
      <c r="C6" t="n">
        <v>-2</v>
      </c>
      <c r="D6" t="n">
        <v>4.5</v>
      </c>
      <c r="E6" s="2" t="inlineStr">
        <is>
          <t>Tripler window 0..+5: driven at the top</t>
        </is>
      </c>
    </row>
    <row r="7">
      <c r="A7" t="n">
        <v>6</v>
      </c>
      <c r="B7" t="inlineStr">
        <is>
          <t>ZX90-3-812-S+  x3</t>
        </is>
      </c>
      <c r="C7" t="n">
        <v>-15</v>
      </c>
      <c r="D7" t="n">
        <v>-10.5</v>
      </c>
      <c r="E7" s="2" t="inlineStr">
        <is>
          <t>Out 6.455-7.710 GHz; CL 15 typ/22 max</t>
        </is>
      </c>
    </row>
    <row r="8">
      <c r="A8" t="n">
        <v>7</v>
      </c>
      <c r="B8" t="inlineStr">
        <is>
          <t>VHF-4600+</t>
        </is>
      </c>
      <c r="C8" t="n">
        <v>-1.2</v>
      </c>
      <c r="D8" t="n">
        <v>-11.7</v>
      </c>
      <c r="E8" s="2" t="inlineStr">
        <is>
          <t>Kills tripler F1 (21 dBc min)</t>
        </is>
      </c>
    </row>
    <row r="9">
      <c r="A9" t="n">
        <v>8</v>
      </c>
      <c r="B9" t="inlineStr">
        <is>
          <t>VLF-8400+ + cable</t>
        </is>
      </c>
      <c r="C9" t="n">
        <v>-1.3</v>
      </c>
      <c r="D9" t="n">
        <v>-13</v>
      </c>
      <c r="E9" s="2" t="inlineStr">
        <is>
          <t>Kills F2 residue (would x2 into 8.6-10.3, and prevents in-band products downstream)</t>
        </is>
      </c>
    </row>
    <row r="10">
      <c r="A10" t="n">
        <v>9</v>
      </c>
      <c r="B10" t="inlineStr">
        <is>
          <t>ZX60-83LN-S+ (Nov; interim TB-830A+)</t>
        </is>
      </c>
      <c r="C10" t="n">
        <v>19.8</v>
      </c>
      <c r="D10" t="n">
        <v>6.8</v>
      </c>
      <c r="E10" s="2" t="inlineStr">
        <is>
          <t>SINGLE stage - no second amp, NO 12.5 dB pad. 12.7 dB below P1dB</t>
        </is>
      </c>
    </row>
    <row r="11">
      <c r="A11" t="n">
        <v>10</v>
      </c>
      <c r="B11" t="inlineStr">
        <is>
          <t>MMD-1030LS  x2</t>
        </is>
      </c>
      <c r="C11" t="n">
        <v>-12.5</v>
      </c>
      <c r="D11" t="n">
        <v>-5.7</v>
      </c>
      <c r="E11" s="2" t="inlineStr">
        <is>
          <t>Drive +6.8 in 5-15 window (nom +7). Out 12.91-15.42 GHz. F1 38 dBc / F3 46 dBc. GATE: run_am_pm A/B vs owned ZX90 (drive is 8 dB below window top)</t>
        </is>
      </c>
    </row>
    <row r="12">
      <c r="A12" t="n">
        <v>11</v>
      </c>
      <c r="B12" t="inlineStr">
        <is>
          <t>ZX60-04183LN+ (owned)</t>
        </is>
      </c>
      <c r="C12" t="n">
        <v>11</v>
      </c>
      <c r="D12" t="n">
        <v>5.3</v>
      </c>
      <c r="E12" s="2" t="inlineStr">
        <is>
          <t>G ~11 at 14 GHz (project's standing number); ~13 dB backoff</t>
        </is>
      </c>
    </row>
    <row r="13">
      <c r="A13" t="n">
        <v>12</v>
      </c>
      <c r="B13" t="inlineStr">
        <is>
          <t>PE83IR1023 isolator (owned)</t>
        </is>
      </c>
      <c r="C13" t="n">
        <v>-0.9</v>
      </c>
      <c r="D13" t="n">
        <v>4.4</v>
      </c>
      <c r="E13" s="2" t="inlineStr"/>
    </row>
    <row r="14">
      <c r="A14" t="n">
        <v>13</v>
      </c>
      <c r="B14" t="inlineStr">
        <is>
          <t>Cable to AMC</t>
        </is>
      </c>
      <c r="C14" t="n">
        <v>-0.6</v>
      </c>
      <c r="D14" t="n">
        <v>3.8</v>
      </c>
      <c r="E14" s="2" t="inlineStr">
        <is>
          <t>AMC window 0..+7 typ +5: weak edge +3.8, strong +5.1 - in window, at/near typ. If the bench wants more: revert Tx to owned ZX90 route (previous sheets) or 2nd amp + MMD at +12</t>
        </is>
      </c>
    </row>
    <row r="16">
      <c r="A16" s="9" t="inlineStr">
        <is>
          <t>Rx LO chain - AWG CH2 to MixAMC LO (weak-edge design values)</t>
        </is>
      </c>
    </row>
    <row r="17">
      <c r="A17" t="n">
        <v>1</v>
      </c>
      <c r="B17" t="inlineStr">
        <is>
          <t>AWG CH2 CW, 0.55 Vpp ceiling</t>
        </is>
      </c>
      <c r="C17" t="inlineStr">
        <is>
          <t>-</t>
        </is>
      </c>
      <c r="D17" t="n">
        <v>-5.5</v>
      </c>
      <c r="E17" s="2" t="inlineStr">
        <is>
          <t>Per-segment CH2 scalars hold the MixAMC LO at -6.0 dBm across the band tilt AND keep CL drive-constant</t>
        </is>
      </c>
    </row>
    <row r="18">
      <c r="A18" t="n">
        <v>2</v>
      </c>
      <c r="B18" t="inlineStr">
        <is>
          <t>Cable</t>
        </is>
      </c>
      <c r="C18" t="n">
        <v>-0.5</v>
      </c>
      <c r="D18" t="n">
        <v>-6</v>
      </c>
      <c r="E18" s="2" t="inlineStr"/>
    </row>
    <row r="19">
      <c r="A19" t="n">
        <v>3</v>
      </c>
      <c r="B19" t="inlineStr">
        <is>
          <t>ZX60-P105LN+ (Nov; interim owned 123LN)</t>
        </is>
      </c>
      <c r="C19" t="n">
        <v>15.5</v>
      </c>
      <c r="D19" t="n">
        <v>9.5</v>
      </c>
      <c r="E19" s="2" t="inlineStr">
        <is>
          <t>123LN interim: NF 2.1, backoff 2-4 dB - fine for CW</t>
        </is>
      </c>
    </row>
    <row r="20">
      <c r="A20" t="n">
        <v>4</v>
      </c>
      <c r="B20" t="inlineStr">
        <is>
          <t>Pad 3 dB</t>
        </is>
      </c>
      <c r="C20" t="n">
        <v>-3</v>
      </c>
      <c r="D20" t="n">
        <v>6.5</v>
      </c>
      <c r="E20" s="2" t="inlineStr"/>
    </row>
    <row r="21">
      <c r="A21" t="n">
        <v>5</v>
      </c>
      <c r="B21" t="inlineStr">
        <is>
          <t>VBFZ-2340-S+ + interconnect</t>
        </is>
      </c>
      <c r="C21" t="n">
        <v>-2</v>
      </c>
      <c r="D21" t="n">
        <v>4.5</v>
      </c>
      <c r="E21" s="2" t="inlineStr"/>
    </row>
    <row r="22">
      <c r="A22" t="n">
        <v>6</v>
      </c>
      <c r="B22" t="inlineStr">
        <is>
          <t>ZX90-3-812-S+  x3</t>
        </is>
      </c>
      <c r="C22" t="n">
        <v>-15</v>
      </c>
      <c r="D22" t="n">
        <v>-10.5</v>
      </c>
      <c r="E22" s="2" t="inlineStr"/>
    </row>
    <row r="23">
      <c r="A23" t="n">
        <v>7</v>
      </c>
      <c r="B23" t="inlineStr">
        <is>
          <t>VHF-4600+</t>
        </is>
      </c>
      <c r="C23" t="n">
        <v>-1.2</v>
      </c>
      <c r="D23" t="n">
        <v>-11.7</v>
      </c>
      <c r="E23" s="2" t="inlineStr"/>
    </row>
    <row r="24">
      <c r="A24" t="n">
        <v>8</v>
      </c>
      <c r="B24" t="inlineStr">
        <is>
          <t>VLF-8400+ + cable</t>
        </is>
      </c>
      <c r="C24" t="n">
        <v>-1.3</v>
      </c>
      <c r="D24" t="n">
        <v>-13</v>
      </c>
      <c r="E24" s="2" t="inlineStr"/>
    </row>
    <row r="25">
      <c r="A25" t="n">
        <v>9</v>
      </c>
      <c r="B25" t="inlineStr">
        <is>
          <t>ZX60-83LN-S+ (Nov; interim TB-830A+)</t>
        </is>
      </c>
      <c r="C25" t="n">
        <v>19.8</v>
      </c>
      <c r="D25" t="n">
        <v>6.8</v>
      </c>
      <c r="E25" s="2" t="inlineStr">
        <is>
          <t>Single stage</t>
        </is>
      </c>
    </row>
    <row r="26">
      <c r="A26" t="n">
        <v>10</v>
      </c>
      <c r="B26" t="inlineStr">
        <is>
          <t>MMD-1030LS  x2</t>
        </is>
      </c>
      <c r="C26" t="n">
        <v>-12.5</v>
      </c>
      <c r="D26" t="n">
        <v>-5.7</v>
      </c>
      <c r="E26" s="2" t="inlineStr">
        <is>
          <t>Out lands AT the MixAMC target - no output amp, no big pad. CW -&gt; nominal drive is fine (no AM-PM gate needed here)</t>
        </is>
      </c>
    </row>
    <row r="27">
      <c r="A27" t="n">
        <v>11</v>
      </c>
      <c r="B27" t="inlineStr">
        <is>
          <t>Trim pad 0-1 dB + cable</t>
        </is>
      </c>
      <c r="C27" t="n">
        <v>-0.3</v>
      </c>
      <c r="D27" t="n">
        <v>-6</v>
      </c>
      <c r="E27" s="2" t="inlineStr">
        <is>
          <t>MixAMC LO window -8 / -6 typ / -2 MAX: verify on EXA before first connect; NEVER above -2</t>
        </is>
      </c>
    </row>
    <row r="29" ht="75" customHeight="1">
      <c r="B29" s="2" t="inlineStr">
        <is>
          <t>IF chain unchanged: MixAMC IF -&gt; BLK-18-S+ -&gt; VBFZ-780-S+ -&gt; ZX60-P105LN+ (Nov; interim H242 or ampless) -&gt; scope. Buy-list delta vs baseline: +2x MMD-1030LS (price TBD), TB-830A+ 4 -&gt; 2, Nov 83LN order 4 -&gt; 2, ZX90-2-24-S+ #2 CANCELLED, 12.5 dB pads unneeded (kit still wanted for 3/6 dB trims). Owned ZX90 retires to Tx fallback. Bench gates before this sheet becomes the build: run_insert CL/spur sweep of each MMD at +6.8 dBm; run_am_pm on the Tx unit.</t>
        </is>
      </c>
    </row>
  </sheetData>
  <mergeCells count="3">
    <mergeCell ref="A16:E16"/>
    <mergeCell ref="B29:E29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2026-08-06T15:11:21Z</dcterms:created>
  <dcterms:modified xsi:type="dcterms:W3CDTF">2026-08-06T15:11:21Z</dcterms:modified>
</cp:coreProperties>
</file>