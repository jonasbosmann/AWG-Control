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rice check 2026-10-07" sheetId="2" state="visible" r:id="rId2"/>
    <sheet name="Parts list" sheetId="3" state="visible" r:id="rId3"/>
    <sheet name="Assembly order" sheetId="4" state="visible" r:id="rId4"/>
    <sheet name="Gaps + ope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C00000"/>
      <sz val="10"/>
    </font>
    <font>
      <name val="Arial"/>
      <b val="1"/>
      <color rgb="001F3864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BE4D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top" wrapText="1"/>
    </xf>
    <xf numFmtId="0" fontId="0" fillId="0" borderId="4" pivotButton="0" quotePrefix="0" xfId="0"/>
    <xf numFmtId="164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08" customWidth="1" min="2" max="2"/>
  </cols>
  <sheetData>
    <row r="1">
      <c r="A1" s="1" t="inlineStr">
        <is>
          <t>CP-FTMW 310-370 GHz spectrometer - parts list and assembly order</t>
        </is>
      </c>
      <c r="B1" s="2" t="inlineStr"/>
    </row>
    <row r="2">
      <c r="A2" s="2" t="inlineStr"/>
      <c r="B2" s="2" t="inlineStr"/>
    </row>
    <row r="3">
      <c r="A3" s="3" t="inlineStr">
        <is>
          <t>Compiled</t>
        </is>
      </c>
      <c r="B3" s="2" t="inlineStr">
        <is>
          <t>2026-10-07</t>
        </is>
      </c>
    </row>
    <row r="4">
      <c r="A4" s="3" t="inlineStr">
        <is>
          <t>Basis</t>
        </is>
      </c>
      <c r="B4" s="2" t="inlineStr">
        <is>
          <t>chain_purchase_and_design_2026-08-05_rev3.xlsx, sheet 'Final chains (MMD-1030LS)' = plan of record as of 2026-08-05, plus the bench conventions and standing rules from the project record. Nothing here is a new design decision; this workbook reorganises the existing plan into a buildable parts list and a build sequence.</t>
        </is>
      </c>
    </row>
    <row r="5">
      <c r="A5" s="4" t="inlineStr">
        <is>
          <t>PRICES RE-CHECKED 2026-10-07 - the August decisions have resolved themselves:</t>
        </is>
      </c>
      <c r="B5" s="5" t="inlineStr">
        <is>
          <t>See the 'Price check 2026-10-07' sheet for the full table. (1) ZX60-83LN-S+ is now MORE THAN 100 in stock at an unchanged price, so the November interstage bottleneck is GONE and the TB-830A+ bridge is dropped. (2) ZX90-2-24-S+ #2 is 21 in stock, so it is back on the list. (3) The MMD-1030LS priced at $783.20 with ZERO stock and no quotable lead time - the pending 'buy 2x depending on price' decision resolves to NO, and the ZX90 route is now PRIMARY throughout this workbook. (4) ZX60-P105LN+ is the only part still unavailable, with a hard date of 04-Nov-2026 and a 30-week factory lead - so the free interim front-LNA bridges stay for about four more weeks, and the Tx AM-PM gate at step 2.3 is no longer needed.</t>
        </is>
      </c>
    </row>
    <row r="6">
      <c r="A6" s="2" t="inlineStr"/>
      <c r="B6" s="2" t="inlineStr"/>
    </row>
    <row r="7">
      <c r="A7" s="3" t="inlineStr">
        <is>
          <t>System band</t>
        </is>
      </c>
      <c r="B7" s="2" t="inlineStr">
        <is>
          <t>310-370 GHz, set by the Tx AMC (ACST 1211B-24AL). The MixAMC's wider ~270-370 GHz good-CL window is dead margin - there is no in-house source below 310 GHz.</t>
        </is>
      </c>
    </row>
    <row r="8">
      <c r="A8" s="3" t="inlineStr">
        <is>
          <t>Multiplication</t>
        </is>
      </c>
      <c r="B8" s="2" t="inlineStr">
        <is>
          <t>AWG 2.152-2.570 GHz -&gt; x3 (ZX90-3-812-S+) -&gt; 6.455-7.710 -&gt; x2 (doubler) -&gt; 12.91-15.42 GHz -&gt; x24 (AMC / MixAMC) -&gt; 310-370 GHz. Total x144 = 43.2 dB phase-noise growth.</t>
        </is>
      </c>
    </row>
    <row r="9">
      <c r="A9" s="3" t="inlineStr">
        <is>
          <t>Architecture</t>
        </is>
      </c>
      <c r="B9" s="2" t="inlineStr">
        <is>
          <t>AWG CH1 = chirp -&gt; Tx chain -&gt; AMC -&gt; horn. AWG CH2 = CW -&gt; an IDENTICAL chain -&gt; MixAMC LO. Both channels share one AWG buffer, which is what gives shot-to-shot phase coherence. Detection window opens only AFTER the chirp ends.</t>
        </is>
      </c>
    </row>
    <row r="10">
      <c r="A10" s="3" t="inlineStr">
        <is>
          <t>IF</t>
        </is>
      </c>
      <c r="B10" s="2" t="inlineStr">
        <is>
          <t>730-830 MHz (24*f_LO,Rx sits 730 MHz below each segment's low edge). Inside the MixAMC's specified &lt;=1 GHz IF band and clear of the scope's own 1.5 GHz comb.</t>
        </is>
      </c>
    </row>
    <row r="11">
      <c r="A11" s="2" t="inlineStr"/>
      <c r="B11" s="2" t="inlineStr"/>
    </row>
    <row r="12">
      <c r="A12" s="3" t="inlineStr">
        <is>
          <t>Which route this list assumes</t>
        </is>
      </c>
      <c r="B12" s="2" t="inlineStr">
        <is>
          <t>PRIMARY = the MMD-1030LS route: ONE interstage amp per chain, no 12.5 dB pad, Rx needs no output stage and no second ZX90. FALLBACK (fully specified in the rev3 'Tx chain levels' / 'Rx LO chain levels' sheets) = owned ZX90-2-24-S+ plus TWO interstage stages and a 12.5 dB pad per chain. Parts list marks which rows belong to which route.</t>
        </is>
      </c>
    </row>
    <row r="13">
      <c r="A13" s="3" t="inlineStr">
        <is>
          <t>What this workbook does NOT cover</t>
        </is>
      </c>
      <c r="B13" s="2" t="inlineStr">
        <is>
          <t>PRIMARY (confirmed 2026-10-07 on price and stock) = the ZX90 route: TWO interstage stages per chain with a 12.5 dB pad between them, the owned ZX90-2-24-S+ as the Tx doubler and a second unit for the Rx chain. The MMD-1030LS route is REJECTED on price and availability; its rows are kept and marked so the reasoning stays visible.</t>
        </is>
      </c>
    </row>
    <row r="14">
      <c r="A14" s="2" t="inlineStr"/>
      <c r="B14" s="2" t="inlineStr"/>
    </row>
    <row r="15">
      <c r="A15" s="6" t="inlineStr">
        <is>
          <t>Standing rules that shaped the assembly order</t>
        </is>
      </c>
      <c r="B15" s="2" t="inlineStr"/>
    </row>
    <row r="16">
      <c r="A16" s="2" t="inlineStr">
        <is>
          <t>1</t>
        </is>
      </c>
      <c r="B16" s="2" t="inlineStr">
        <is>
          <t>Build the Rx LO chain FIRST and clone the settings to Tx. It is CW at every stage, so it is the easier of the two identical chains to debug.</t>
        </is>
      </c>
    </row>
    <row r="17">
      <c r="A17" s="2" t="inlineStr">
        <is>
          <t>2</t>
        </is>
      </c>
      <c r="B17" s="2" t="inlineStr">
        <is>
          <t>Add ONE element at a time and measure it in place by difference (run_insert.py) against the sweep taken just before it went in. Never characterise a later stage standalone on a synthesiser - different source impedance and, past a multiplier, different input spectrum.</t>
        </is>
      </c>
    </row>
    <row r="18">
      <c r="A18" s="2" t="inlineStr">
        <is>
          <t>3</t>
        </is>
      </c>
      <c r="B18" s="2" t="inlineStr">
        <is>
          <t>A 10 dB pad lives permanently in front of the scope/EXA. If any pad physically changes, change it in x8_chain/config.py in the same motion. Saved levels stay RAW; the pad is recorded, not applied. Two of the 2026-07-27 scans are unrecoverable because this was not done.</t>
        </is>
      </c>
    </row>
    <row r="19">
      <c r="A19" s="2" t="inlineStr">
        <is>
          <t>4</t>
        </is>
      </c>
      <c r="B19" s="2" t="inlineStr">
        <is>
          <t>Drive every multiplier at the TOP of its spec window and keep every amplifier &gt;=5 dB below P1dB. The backoff rule is INVERTED for diode multipliers - measured 3.2-3.5 deg/dB AM-to-PM getting WORSE as drive backs off.</t>
        </is>
      </c>
    </row>
    <row r="20">
      <c r="A20" s="2" t="inlineStr">
        <is>
          <t>5</t>
        </is>
      </c>
      <c r="B20" s="2" t="inlineStr">
        <is>
          <t>Measure flatness at the operating level, never at the AWG ceiling - compression flattens tilt and reported 0.32 dB where the real figure was 0.9.</t>
        </is>
      </c>
    </row>
    <row r="21">
      <c r="A21" s="2" t="inlineStr">
        <is>
          <t>6</t>
        </is>
      </c>
      <c r="B21" s="2" t="inlineStr">
        <is>
          <t>Measure actual horn-to-horn coupling with a detector BEFORE the MixAMC is ever in the beam, and verify every level on the EXA before connecting either ACST head.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20" customWidth="1" min="4" max="4"/>
    <col width="26" customWidth="1" min="5" max="5"/>
    <col width="62" customWidth="1" min="6" max="6"/>
  </cols>
  <sheetData>
    <row r="1">
      <c r="A1" s="20" t="inlineStr">
        <is>
          <t>Price and stock re-check, 2026-10-07 (all Mini-Circuits figures from minicircuits.com direct)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Headline</t>
        </is>
      </c>
      <c r="B3" s="5" t="inlineStr">
        <is>
          <t>Three things changed and all three point the same way. (1) ZX60-83LN-S+ went from 0/November to MORE THAN 100 in stock, so the interstage bottleneck that forced the whole TB-830A+ bridge is gone. (2) ZX90-2-24-S+ #2 went from 0 to 21 in stock. (3) The MMD-1030LS price finally surfaced at $783.20 with ZERO stock and no quotable lead time. Together these resolve the pending decision AGAINST the MMD route and dissolve most of the November workaround. Only ZX60-P105LN+ is still unavailable, now with a hard date of 04-Nov-2026.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 ht="30" customHeight="1">
      <c r="A5" s="21" t="inlineStr">
        <is>
          <t>Part</t>
        </is>
      </c>
      <c r="B5" s="21" t="inlineStr">
        <is>
          <t>Aug 2026 price</t>
        </is>
      </c>
      <c r="C5" s="21" t="inlineStr">
        <is>
          <t>Oct 2026 price</t>
        </is>
      </c>
      <c r="D5" s="21" t="inlineStr">
        <is>
          <t>Aug 2026 stock</t>
        </is>
      </c>
      <c r="E5" s="21" t="inlineStr">
        <is>
          <t>Oct 2026 stock</t>
        </is>
      </c>
      <c r="F5" s="21" t="inlineStr">
        <is>
          <t>Verdict</t>
        </is>
      </c>
    </row>
    <row r="6">
      <c r="A6" s="12" t="inlineStr">
        <is>
          <t>ZX60-83LN-S+</t>
        </is>
      </c>
      <c r="B6" s="14" t="n">
        <v>219.09</v>
      </c>
      <c r="C6" s="14" t="n">
        <v>219.09</v>
      </c>
      <c r="D6" s="12" t="inlineStr">
        <is>
          <t>0 - ships ~Nov</t>
        </is>
      </c>
      <c r="E6" s="12" t="inlineStr">
        <is>
          <t>more than 100</t>
        </is>
      </c>
      <c r="F6" s="13" t="inlineStr">
        <is>
          <t>CHANGED - buy now. MCL direct only; DigiKey has 0 at $262.91.</t>
        </is>
      </c>
    </row>
    <row r="7">
      <c r="A7" s="12" t="inlineStr">
        <is>
          <t>ZX90-2-24-S+</t>
        </is>
      </c>
      <c r="B7" s="14" t="n">
        <v>106.64</v>
      </c>
      <c r="C7" s="14" t="n">
        <v>106.64</v>
      </c>
      <c r="D7" s="12" t="inlineStr">
        <is>
          <t>0 - contact sales</t>
        </is>
      </c>
      <c r="E7" s="12" t="inlineStr">
        <is>
          <t>21</t>
        </is>
      </c>
      <c r="F7" s="13" t="inlineStr">
        <is>
          <t>CHANGED - buy now. Un-cancels the #2 unit for the Rx chain.</t>
        </is>
      </c>
    </row>
    <row r="8">
      <c r="A8" s="12" t="inlineStr">
        <is>
          <t>ZX90-3-812-S+</t>
        </is>
      </c>
      <c r="B8" s="14" t="n">
        <v>73.91</v>
      </c>
      <c r="C8" s="14" t="n">
        <v>74.29000000000001</v>
      </c>
      <c r="D8" s="12" t="inlineStr">
        <is>
          <t>more than 100</t>
        </is>
      </c>
      <c r="E8" s="12" t="inlineStr">
        <is>
          <t>more than 100</t>
        </is>
      </c>
      <c r="F8" s="12" t="inlineStr">
        <is>
          <t>Price +$0.38. The only price movement in the whole list.</t>
        </is>
      </c>
    </row>
    <row r="9">
      <c r="A9" s="12" t="inlineStr">
        <is>
          <t>ZX60-P105LN+</t>
        </is>
      </c>
      <c r="B9" s="14" t="n">
        <v>119.47</v>
      </c>
      <c r="C9" s="14" t="n">
        <v>119.47</v>
      </c>
      <c r="D9" s="12" t="inlineStr">
        <is>
          <t>0 - ships ~Nov</t>
        </is>
      </c>
      <c r="E9" s="12" t="inlineStr">
        <is>
          <t>0 - 10 expected 04-Nov-2026</t>
        </is>
      </c>
      <c r="F9" s="22" t="inlineStr">
        <is>
          <t>STILL BLOCKED. 30-week factory lead. The only one left.</t>
        </is>
      </c>
    </row>
    <row r="10">
      <c r="A10" s="12" t="inlineStr">
        <is>
          <t>VBFZ-2340-S+</t>
        </is>
      </c>
      <c r="B10" s="14" t="n">
        <v>54.13</v>
      </c>
      <c r="C10" s="14" t="n">
        <v>54.13</v>
      </c>
      <c r="D10" s="12" t="inlineStr">
        <is>
          <t>more than 100</t>
        </is>
      </c>
      <c r="E10" s="12" t="inlineStr">
        <is>
          <t>more than 100</t>
        </is>
      </c>
      <c r="F10" s="12" t="inlineStr">
        <is>
          <t>Unchanged.</t>
        </is>
      </c>
    </row>
    <row r="11">
      <c r="A11" s="12" t="inlineStr">
        <is>
          <t>VBFZ-780-S+</t>
        </is>
      </c>
      <c r="B11" s="14" t="n">
        <v>54.13</v>
      </c>
      <c r="C11" s="14" t="n">
        <v>54.13</v>
      </c>
      <c r="D11" s="12" t="inlineStr">
        <is>
          <t>55</t>
        </is>
      </c>
      <c r="E11" s="12" t="inlineStr">
        <is>
          <t>54</t>
        </is>
      </c>
      <c r="F11" s="12" t="inlineStr">
        <is>
          <t>Unchanged.</t>
        </is>
      </c>
    </row>
    <row r="12">
      <c r="A12" s="12" t="inlineStr">
        <is>
          <t>VHF-4600+</t>
        </is>
      </c>
      <c r="B12" s="14" t="n">
        <v>33.81</v>
      </c>
      <c r="C12" s="14" t="n">
        <v>33.81</v>
      </c>
      <c r="D12" s="12" t="inlineStr">
        <is>
          <t>230</t>
        </is>
      </c>
      <c r="E12" s="12" t="inlineStr">
        <is>
          <t>120</t>
        </is>
      </c>
      <c r="F12" s="12" t="inlineStr">
        <is>
          <t>Unchanged price, stock drawing down.</t>
        </is>
      </c>
    </row>
    <row r="13">
      <c r="A13" s="12" t="inlineStr">
        <is>
          <t>VLF-8400+</t>
        </is>
      </c>
      <c r="B13" s="14" t="n">
        <v>33.81</v>
      </c>
      <c r="C13" s="14" t="n">
        <v>33.81</v>
      </c>
      <c r="D13" s="12" t="inlineStr">
        <is>
          <t>558</t>
        </is>
      </c>
      <c r="E13" s="12" t="inlineStr">
        <is>
          <t>197</t>
        </is>
      </c>
      <c r="F13" s="12" t="inlineStr">
        <is>
          <t>Unchanged price, stock drawing down.</t>
        </is>
      </c>
    </row>
    <row r="14">
      <c r="A14" s="12" t="inlineStr">
        <is>
          <t>BLK-18-S+</t>
        </is>
      </c>
      <c r="B14" s="14" t="n">
        <v>29.73</v>
      </c>
      <c r="C14" s="14" t="n">
        <v>29.73</v>
      </c>
      <c r="D14" s="12" t="inlineStr">
        <is>
          <t>more than 1000</t>
        </is>
      </c>
      <c r="E14" s="12" t="inlineStr">
        <is>
          <t>more than 1000</t>
        </is>
      </c>
      <c r="F14" s="12" t="inlineStr">
        <is>
          <t>Unchanged.</t>
        </is>
      </c>
    </row>
    <row r="15">
      <c r="A15" s="12" t="inlineStr">
        <is>
          <t>141-12SM+</t>
        </is>
      </c>
      <c r="B15" s="14" t="n">
        <v>17.13</v>
      </c>
      <c r="C15" s="14" t="n">
        <v>17.13</v>
      </c>
      <c r="D15" s="12" t="inlineStr">
        <is>
          <t>more than 1000</t>
        </is>
      </c>
      <c r="E15" s="12" t="inlineStr">
        <is>
          <t>more than 1000</t>
        </is>
      </c>
      <c r="F15" s="12" t="inlineStr">
        <is>
          <t>Unchanged.</t>
        </is>
      </c>
    </row>
    <row r="16">
      <c r="A16" s="12" t="inlineStr">
        <is>
          <t>K5-BW1+</t>
        </is>
      </c>
      <c r="B16" s="14" t="n">
        <v>378.24</v>
      </c>
      <c r="C16" s="14" t="n">
        <v>378.24</v>
      </c>
      <c r="D16" s="12" t="inlineStr">
        <is>
          <t>2 (!)</t>
        </is>
      </c>
      <c r="E16" s="12" t="inlineStr">
        <is>
          <t>7</t>
        </is>
      </c>
      <c r="F16" s="12" t="inlineStr">
        <is>
          <t>Unchanged price, pressure eased. DigiKey 0.</t>
        </is>
      </c>
    </row>
    <row r="17">
      <c r="A17" s="12" t="inlineStr">
        <is>
          <t>ZRL-3500+ (contingency)</t>
        </is>
      </c>
      <c r="B17" s="14" t="n">
        <v>185.88</v>
      </c>
      <c r="C17" s="14" t="n">
        <v>185.88</v>
      </c>
      <c r="D17" s="12" t="inlineStr">
        <is>
          <t>47</t>
        </is>
      </c>
      <c r="E17" s="12" t="inlineStr">
        <is>
          <t>94</t>
        </is>
      </c>
      <c r="F17" s="12" t="inlineStr">
        <is>
          <t>Unchanged. Only needed if the H242 edge check fails.</t>
        </is>
      </c>
    </row>
    <row r="18">
      <c r="A18" s="12" t="inlineStr">
        <is>
          <t>Marki MMD-1030LS</t>
        </is>
      </c>
      <c r="B18" s="14" t="n"/>
      <c r="C18" s="14" t="n">
        <v>783.2</v>
      </c>
      <c r="D18" s="12" t="inlineStr">
        <is>
          <t>price unknown</t>
        </is>
      </c>
      <c r="E18" s="12" t="inlineStr">
        <is>
          <t>0 in stock, 0 factory stock</t>
        </is>
      </c>
      <c r="F18" s="22" t="inlineStr">
        <is>
          <t>REJECTED - see below. $737.13 at qty 5-9.</t>
        </is>
      </c>
    </row>
    <row r="19">
      <c r="A19" s="12" t="inlineStr">
        <is>
          <t>TB-830A+ (interim)</t>
        </is>
      </c>
      <c r="B19" s="14" t="n">
        <v>141.61</v>
      </c>
      <c r="C19" s="14" t="n"/>
      <c r="D19" s="12" t="inlineStr">
        <is>
          <t>MMIC &gt;1000</t>
        </is>
      </c>
      <c r="E19" s="12" t="inlineStr">
        <is>
          <t>not needed</t>
        </is>
      </c>
      <c r="F19" s="22" t="inlineStr">
        <is>
          <t>DROPPED - the real ZX60-83LN-S+ is in stock.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6" t="inlineStr">
        <is>
          <t>The MMD-1030LS decision, resolved</t>
        </is>
      </c>
      <c r="B21" s="2" t="n"/>
      <c r="C21" s="2" t="n"/>
      <c r="D21" s="2" t="n"/>
      <c r="E21" s="2" t="n"/>
      <c r="F21" s="2" t="n"/>
    </row>
    <row r="22">
      <c r="A22" s="2" t="inlineStr">
        <is>
          <t>MMD route, both chains</t>
        </is>
      </c>
      <c r="B22" s="23">
        <f>2*'Parts list'!G15 + 2*783.20</f>
        <v/>
      </c>
      <c r="C22" s="2" t="n"/>
      <c r="D22" s="2" t="n"/>
      <c r="E22" s="2" t="n"/>
      <c r="F22" s="2" t="n"/>
    </row>
    <row r="23">
      <c r="A23" s="2" t="inlineStr">
        <is>
          <t>ZX90 route, both chains</t>
        </is>
      </c>
      <c r="B23" s="23">
        <f>4*219.09 + 106.64</f>
        <v/>
      </c>
      <c r="C23" s="2" t="n"/>
      <c r="D23" s="2" t="n"/>
      <c r="E23" s="2" t="n"/>
      <c r="F23" s="2" t="n"/>
    </row>
    <row r="24">
      <c r="A24" s="2" t="inlineStr">
        <is>
          <t>ZX90 route saves</t>
        </is>
      </c>
      <c r="B24" s="24">
        <f>B22-B23</f>
        <v/>
      </c>
      <c r="C24" s="2" t="inlineStr">
        <is>
          <t>...and is the only one of the two that can actually be delivered.</t>
        </is>
      </c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3" t="inlineStr">
        <is>
          <t>What the MMD would still have bought, for the record</t>
        </is>
      </c>
      <c r="B26" s="2" t="n"/>
      <c r="C26" s="2" t="n"/>
      <c r="D26" s="2" t="n"/>
      <c r="E26" s="2" t="n"/>
      <c r="F26" s="2" t="n"/>
    </row>
    <row r="27">
      <c r="A27" s="2" t="inlineStr">
        <is>
          <t>-</t>
        </is>
      </c>
      <c r="B27" s="2" t="inlineStr">
        <is>
          <t>Two fewer boxes per chain (one interstage amp instead of two, no 12.5 dB pad).</t>
        </is>
      </c>
      <c r="C27" s="2" t="n"/>
      <c r="D27" s="2" t="n"/>
      <c r="E27" s="2" t="n"/>
      <c r="F27" s="2" t="n"/>
    </row>
    <row r="28">
      <c r="A28" s="2" t="inlineStr">
        <is>
          <t>-</t>
        </is>
      </c>
      <c r="B28" s="2" t="inlineStr">
        <is>
          <t>F1 rejection 38 dBc vs the owned ZX90's 21.9 dBc dip at 7.0 GHz - but that dip is out of band, and ACST say out-of-band content does not matter to the AMC.</t>
        </is>
      </c>
      <c r="C28" s="2" t="n"/>
      <c r="D28" s="2" t="n"/>
      <c r="E28" s="2" t="n"/>
      <c r="F28" s="2" t="n"/>
    </row>
    <row r="29">
      <c r="A29" s="2" t="inlineStr">
        <is>
          <t>-</t>
        </is>
      </c>
      <c r="B29" s="2" t="inlineStr">
        <is>
          <t>An Rx output landing on -6.0 dBm with zero trim parts, instead of +0.3 dBm into a 6 dB pad.</t>
        </is>
      </c>
      <c r="C29" s="2" t="n"/>
      <c r="D29" s="2" t="n"/>
      <c r="E29" s="2" t="n"/>
      <c r="F29" s="2" t="n"/>
    </row>
    <row r="30">
      <c r="A30" s="2" t="inlineStr">
        <is>
          <t>-</t>
        </is>
      </c>
      <c r="B30" s="2" t="inlineStr">
        <is>
          <t>Against all that: it would have been driven at +6.8 dBm, 8 dB below its window top, straight into the backed-off regime your own AM-PM bench work identified as the bad one for a diode multiplier. Rejecting it also removes that gate from the build.</t>
        </is>
      </c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6" t="inlineStr">
        <is>
          <t>BASKET TO ORDER NOW - all in stock at Mini-Circuits direct</t>
        </is>
      </c>
      <c r="B32" s="2" t="n"/>
      <c r="C32" s="2" t="n"/>
      <c r="D32" s="2" t="n"/>
      <c r="E32" s="2" t="n"/>
      <c r="F32" s="2" t="n"/>
    </row>
    <row r="33" ht="30" customHeight="1">
      <c r="A33" s="21" t="inlineStr">
        <is>
          <t>Part</t>
        </is>
      </c>
      <c r="B33" s="21" t="inlineStr">
        <is>
          <t>Unit USD</t>
        </is>
      </c>
      <c r="C33" s="21" t="inlineStr">
        <is>
          <t>Qty</t>
        </is>
      </c>
      <c r="D33" s="21" t="inlineStr">
        <is>
          <t>Ext USD</t>
        </is>
      </c>
      <c r="E33" s="21" t="inlineStr"/>
      <c r="F33" s="21" t="inlineStr">
        <is>
          <t>Note</t>
        </is>
      </c>
    </row>
    <row r="34">
      <c r="A34" s="12" t="inlineStr">
        <is>
          <t>ZX60-83LN-S+</t>
        </is>
      </c>
      <c r="B34" s="14" t="n">
        <v>219.09</v>
      </c>
      <c r="C34" s="12" t="n">
        <v>4</v>
      </c>
      <c r="D34" s="14">
        <f>B34*C34</f>
        <v/>
      </c>
      <c r="E34" s="12" t="n"/>
      <c r="F34" s="12" t="inlineStr">
        <is>
          <t>Interstage, 2 per chain. The big change - in stock now.</t>
        </is>
      </c>
    </row>
    <row r="35">
      <c r="A35" s="12" t="inlineStr">
        <is>
          <t>ZX90-3-812-S+</t>
        </is>
      </c>
      <c r="B35" s="14" t="n">
        <v>74.29000000000001</v>
      </c>
      <c r="C35" s="12" t="n">
        <v>2</v>
      </c>
      <c r="D35" s="14">
        <f>B35*C35</f>
        <v/>
      </c>
      <c r="E35" s="12" t="n"/>
      <c r="F35" s="12" t="inlineStr">
        <is>
          <t>Tripler, 1 per chain.</t>
        </is>
      </c>
    </row>
    <row r="36">
      <c r="A36" s="12" t="inlineStr">
        <is>
          <t>VBFZ-2340-S+</t>
        </is>
      </c>
      <c r="B36" s="14" t="n">
        <v>54.13</v>
      </c>
      <c r="C36" s="12" t="n">
        <v>2</v>
      </c>
      <c r="D36" s="14">
        <f>B36*C36</f>
        <v/>
      </c>
      <c r="E36" s="12" t="n"/>
      <c r="F36" s="12" t="inlineStr">
        <is>
          <t>Front BPF, 1 per chain.</t>
        </is>
      </c>
    </row>
    <row r="37">
      <c r="A37" s="12" t="inlineStr">
        <is>
          <t>VHF-4600+</t>
        </is>
      </c>
      <c r="B37" s="14" t="n">
        <v>33.81</v>
      </c>
      <c r="C37" s="12" t="n">
        <v>2</v>
      </c>
      <c r="D37" s="14">
        <f>B37*C37</f>
        <v/>
      </c>
      <c r="E37" s="12" t="n"/>
      <c r="F37" s="12" t="inlineStr">
        <is>
          <t>Post-tripler HPF, 1 per chain.</t>
        </is>
      </c>
    </row>
    <row r="38">
      <c r="A38" s="12" t="inlineStr">
        <is>
          <t>VLF-8400+</t>
        </is>
      </c>
      <c r="B38" s="14" t="n">
        <v>33.81</v>
      </c>
      <c r="C38" s="12" t="n">
        <v>2</v>
      </c>
      <c r="D38" s="14">
        <f>B38*C38</f>
        <v/>
      </c>
      <c r="E38" s="12" t="n"/>
      <c r="F38" s="12" t="inlineStr">
        <is>
          <t>Post-tripler LPF, 1 per chain.</t>
        </is>
      </c>
    </row>
    <row r="39">
      <c r="A39" s="12" t="inlineStr">
        <is>
          <t>ZX90-2-24-S+</t>
        </is>
      </c>
      <c r="B39" s="14" t="n">
        <v>106.64</v>
      </c>
      <c r="C39" s="12" t="n">
        <v>1</v>
      </c>
      <c r="D39" s="14">
        <f>B39*C39</f>
        <v/>
      </c>
      <c r="E39" s="12" t="n"/>
      <c r="F39" s="12" t="inlineStr">
        <is>
          <t>Rx doubler #2. Tx uses the owned unit.</t>
        </is>
      </c>
    </row>
    <row r="40">
      <c r="A40" s="12" t="inlineStr">
        <is>
          <t>VBFZ-780-S+</t>
        </is>
      </c>
      <c r="B40" s="14" t="n">
        <v>54.13</v>
      </c>
      <c r="C40" s="12" t="n">
        <v>1</v>
      </c>
      <c r="D40" s="14">
        <f>B40*C40</f>
        <v/>
      </c>
      <c r="E40" s="12" t="n"/>
      <c r="F40" s="12" t="inlineStr">
        <is>
          <t>IF bandpass.</t>
        </is>
      </c>
    </row>
    <row r="41">
      <c r="A41" s="12" t="inlineStr">
        <is>
          <t>BLK-18-S+</t>
        </is>
      </c>
      <c r="B41" s="14" t="n">
        <v>29.73</v>
      </c>
      <c r="C41" s="12" t="n">
        <v>1</v>
      </c>
      <c r="D41" s="14">
        <f>B41*C41</f>
        <v/>
      </c>
      <c r="E41" s="12" t="n"/>
      <c r="F41" s="12" t="inlineStr">
        <is>
          <t>IF DC block.</t>
        </is>
      </c>
    </row>
    <row r="42">
      <c r="A42" s="12" t="inlineStr">
        <is>
          <t>K5-BW1+</t>
        </is>
      </c>
      <c r="B42" s="14" t="n">
        <v>378.24</v>
      </c>
      <c r="C42" s="12" t="n">
        <v>1</v>
      </c>
      <c r="D42" s="14">
        <f>B42*C42</f>
        <v/>
      </c>
      <c r="E42" s="12" t="n"/>
      <c r="F42" s="12" t="inlineStr">
        <is>
          <t>Pad kit - every 3 / 6 / 12.5 dB trim.</t>
        </is>
      </c>
    </row>
    <row r="43">
      <c r="A43" s="12" t="inlineStr">
        <is>
          <t>141-12SM+</t>
        </is>
      </c>
      <c r="B43" s="14" t="n">
        <v>17.13</v>
      </c>
      <c r="C43" s="12" t="n">
        <v>8</v>
      </c>
      <c r="D43" s="14">
        <f>B43*C43</f>
        <v/>
      </c>
      <c r="E43" s="12" t="n"/>
      <c r="F43" s="12" t="inlineStr">
        <is>
          <t>Hand-Flex SMA interconnect.</t>
        </is>
      </c>
    </row>
    <row r="44">
      <c r="A44" s="16" t="inlineStr">
        <is>
          <t>Subtotal, order now</t>
        </is>
      </c>
      <c r="B44" s="12" t="n"/>
      <c r="C44" s="12" t="n"/>
      <c r="D44" s="17">
        <f>SUM(D34:D43)</f>
        <v/>
      </c>
      <c r="E44" s="12" t="n"/>
      <c r="F44" s="12" t="n"/>
    </row>
    <row r="45">
      <c r="A45" s="12" t="inlineStr">
        <is>
          <t>ZX60-P105LN+</t>
        </is>
      </c>
      <c r="B45" s="14" t="n">
        <v>119.47</v>
      </c>
      <c r="C45" s="12" t="n">
        <v>3</v>
      </c>
      <c r="D45" s="14">
        <f>B45*C45</f>
        <v/>
      </c>
      <c r="E45" s="12" t="n"/>
      <c r="F45" s="15" t="inlineStr">
        <is>
          <t>DEFERRED to ~04-Nov-2026. 2 front LNAs + 1 IF amp. Place the order now so you are in the queue; bridge with owned parts until it lands.</t>
        </is>
      </c>
    </row>
    <row r="46">
      <c r="A46" s="16" t="inlineStr">
        <is>
          <t>TOTAL</t>
        </is>
      </c>
      <c r="B46" s="12" t="n"/>
      <c r="C46" s="12" t="n"/>
      <c r="D46" s="17">
        <f>D44+D45</f>
        <v/>
      </c>
      <c r="E46" s="12" t="n"/>
      <c r="F46" s="12" t="n"/>
    </row>
    <row r="47">
      <c r="A47" s="2" t="n"/>
      <c r="B47" s="2" t="n"/>
      <c r="C47" s="2" t="n"/>
      <c r="D47" s="2" t="n"/>
      <c r="E47" s="2" t="n"/>
      <c r="F47" s="2" t="n"/>
    </row>
    <row r="48">
      <c r="A48" s="2" t="inlineStr">
        <is>
          <t>Versus August</t>
        </is>
      </c>
      <c r="B48" s="25" t="inlineStr">
        <is>
          <t>Essentially the same money - the 2026-08-05 basket came to $2,331.87 - but with $0 of interim spend instead of $283-566 of TB-830A+ boards, no open-PCB bench-supply wiring, no $1,566 of Marki doublers, and everything except the three P105LNs shipping today.</t>
        </is>
      </c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inlineStr">
        <is>
          <t>Sources</t>
        </is>
      </c>
      <c r="B50" s="2" t="inlineStr">
        <is>
          <t>minicircuits.com WebStore dashboards per model (prices and stock, fetched 2026-10-07); shop.markimicrowave.com and rfmw.com product detail 710279 for the MMD-1030LS, which agree on $783.20 / 0 stock; digikey.com for the ZX60-P105LN+ 04-Nov-2026 date and the ZX60-83LN-S+ distributor comparison. mouser.de timed out on automated fetch, as it has before - check it by hand if you want EU-side pricing.</t>
        </is>
      </c>
      <c r="C50" s="2" t="n"/>
      <c r="D50" s="2" t="n"/>
      <c r="E50" s="2" t="n"/>
      <c r="F5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30" customWidth="1" min="4" max="4"/>
    <col width="6" customWidth="1" min="5" max="5"/>
    <col width="15" customWidth="1" min="6" max="6"/>
    <col width="13" customWidth="1" min="7" max="7"/>
    <col width="14" customWidth="1" min="8" max="8"/>
    <col width="95" customWidth="1" min="9" max="9"/>
  </cols>
  <sheetData>
    <row r="1" ht="30" customHeight="1">
      <c r="A1" s="7" t="inlineStr">
        <is>
          <t>Section</t>
        </is>
      </c>
      <c r="B1" s="7" t="inlineStr">
        <is>
          <t>#</t>
        </is>
      </c>
      <c r="C1" s="7" t="inlineStr">
        <is>
          <t>Slot / function</t>
        </is>
      </c>
      <c r="D1" s="7" t="inlineStr">
        <is>
          <t>Part</t>
        </is>
      </c>
      <c r="E1" s="7" t="inlineStr">
        <is>
          <t>Qty</t>
        </is>
      </c>
      <c r="F1" s="7" t="inlineStr">
        <is>
          <t>Have / buy</t>
        </is>
      </c>
      <c r="G1" s="7" t="inlineStr">
        <is>
          <t>Unit USD (MCL list 2026-08-05)</t>
        </is>
      </c>
      <c r="H1" s="7" t="inlineStr">
        <is>
          <t>Route</t>
        </is>
      </c>
      <c r="I1" s="7" t="inlineStr">
        <is>
          <t>Notes</t>
        </is>
      </c>
    </row>
    <row r="2">
      <c r="A2" s="8" t="inlineStr">
        <is>
          <t>A - Instruments and control (all owned, already working)</t>
        </is>
      </c>
      <c r="B2" s="9" t="n"/>
      <c r="C2" s="9" t="n"/>
      <c r="D2" s="9" t="n"/>
      <c r="E2" s="9" t="n"/>
      <c r="F2" s="9" t="n"/>
      <c r="G2" s="9" t="n"/>
      <c r="H2" s="9" t="n"/>
      <c r="I2" s="11" t="n"/>
    </row>
    <row r="3">
      <c r="A3" s="12" t="inlineStr">
        <is>
          <t>A</t>
        </is>
      </c>
      <c r="B3" s="12" t="n">
        <v>1</v>
      </c>
      <c r="C3" s="12" t="inlineStr">
        <is>
          <t>Arbitrary waveform generator</t>
        </is>
      </c>
      <c r="D3" s="12" t="inlineStr">
        <is>
          <t>Tabor Proteus P9482D</t>
        </is>
      </c>
      <c r="E3" s="12" t="n">
        <v>1</v>
      </c>
      <c r="F3" s="13" t="inlineStr">
        <is>
          <t>OWNED</t>
        </is>
      </c>
      <c r="G3" s="14" t="n"/>
      <c r="H3" s="12" t="inlineStr">
        <is>
          <t>both</t>
        </is>
      </c>
      <c r="I3" s="12" t="inlineStr">
        <is>
          <t>LAN 141.51.196.111:5025. AC-coupled direct-DAC output module: 9 GHz BW, 550 mVpp ceiling - keep every DUC amplitude &lt;=0.5 Vpp or :VOLT is silently rejected. DUC order that works on fw 1.237.0: :MODE DUC -&gt; :SOUR:INT X8 -&gt; :FREQ:RAST 9e9 -&gt; :SOUR:IQM ONE LAST, then readback-verify == ONE.</t>
        </is>
      </c>
    </row>
    <row r="4">
      <c r="A4" s="12" t="inlineStr">
        <is>
          <t>A</t>
        </is>
      </c>
      <c r="B4" s="12" t="n">
        <v>2</v>
      </c>
      <c r="C4" s="12" t="inlineStr">
        <is>
          <t>FID / IF digitiser</t>
        </is>
      </c>
      <c r="D4" s="12" t="inlineStr">
        <is>
          <t>Tektronix MSO64B</t>
        </is>
      </c>
      <c r="E4" s="12" t="n">
        <v>1</v>
      </c>
      <c r="F4" s="13" t="inlineStr">
        <is>
          <t>OWNED</t>
        </is>
      </c>
      <c r="G4" s="14" t="n"/>
      <c r="H4" s="12" t="inlineStr">
        <is>
          <t>IF</t>
        </is>
      </c>
      <c r="I4" s="12" t="inlineStr">
        <is>
          <t>TCPIP::169.254.4.20::4000::SOCKET (raw socket - USB had a 30 s SCPI-blocking bug). 50 ohm input, max 5 V RMS. Needs a common 10 MHz ref with the AWG for coherent averaging.</t>
        </is>
      </c>
    </row>
    <row r="5">
      <c r="A5" s="12" t="inlineStr">
        <is>
          <t>A</t>
        </is>
      </c>
      <c r="B5" s="12" t="n">
        <v>3</v>
      </c>
      <c r="C5" s="12" t="inlineStr">
        <is>
          <t>Signal analyser - every level and spur check</t>
        </is>
      </c>
      <c r="D5" s="12" t="inlineStr">
        <is>
          <t>Keysight N9010A EXA</t>
        </is>
      </c>
      <c r="E5" s="12" t="n">
        <v>1</v>
      </c>
      <c r="F5" s="13" t="inlineStr">
        <is>
          <t>OWNED</t>
        </is>
      </c>
      <c r="G5" s="14" t="n"/>
      <c r="H5" s="12" t="inlineStr">
        <is>
          <t>both</t>
        </is>
      </c>
      <c r="I5" s="12" t="inlineStr">
        <is>
          <t>USB0::0x0957::0x0B0B::MY52220585::INSTR. Max RBW is 3.000 MHz and a wider request is SILENTLY clamped - always read back get_rbw(). For a pulsed or swept signal use MAXH + clear_trace(), never a Normal single sweep (47.8 dB vs 0.6 dB spread across a flat band).</t>
        </is>
      </c>
    </row>
    <row r="6">
      <c r="A6" s="12" t="inlineStr">
        <is>
          <t>A</t>
        </is>
      </c>
      <c r="B6" s="12" t="n">
        <v>4</v>
      </c>
      <c r="C6" s="12" t="inlineStr">
        <is>
          <t>Interim Rx LO for first light</t>
        </is>
      </c>
      <c r="D6" s="12" t="inlineStr">
        <is>
          <t>R&amp;S SMB100A</t>
        </is>
      </c>
      <c r="E6" s="12" t="n">
        <v>1</v>
      </c>
      <c r="F6" s="13" t="inlineStr">
        <is>
          <t>OWNED</t>
        </is>
      </c>
      <c r="G6" s="14" t="n"/>
      <c r="H6" s="12" t="inlineStr">
        <is>
          <t>Rx LO</t>
        </is>
      </c>
      <c r="I6" s="12" t="inlineStr">
        <is>
          <t>Firmware-enforced +13 dBm ceiling. Drives the MixAMC LO at -6 dBm for first light, locked to the shared 10 MHz. NOT usable for coherent averaging - its phase is not shot-repeatable.</t>
        </is>
      </c>
    </row>
    <row r="7">
      <c r="A7" s="8" t="inlineStr">
        <is>
          <t>B - Tx chain: AWG CH1 -&gt; AMC  (weak-edge design levels from rev3 'Final chains')</t>
        </is>
      </c>
      <c r="B7" s="9" t="n"/>
      <c r="C7" s="9" t="n"/>
      <c r="D7" s="9" t="n"/>
      <c r="E7" s="9" t="n"/>
      <c r="F7" s="9" t="n"/>
      <c r="G7" s="9" t="n"/>
      <c r="H7" s="9" t="n"/>
      <c r="I7" s="11" t="n"/>
    </row>
    <row r="8">
      <c r="A8" s="12" t="inlineStr">
        <is>
          <t>B</t>
        </is>
      </c>
      <c r="B8" s="12" t="n">
        <v>1</v>
      </c>
      <c r="C8" s="12" t="inlineStr">
        <is>
          <t>AWG CH1 out, 0.55 Vpp -&gt; -5.5 dBm</t>
        </is>
      </c>
      <c r="D8" s="12" t="inlineStr">
        <is>
          <t>141-12SM+ Hand-Flex 12 in SMA</t>
        </is>
      </c>
      <c r="E8" s="12" t="n">
        <v>1</v>
      </c>
      <c r="F8" s="13" t="inlineStr">
        <is>
          <t>BUY - IN STOCK</t>
        </is>
      </c>
      <c r="G8" s="14" t="n"/>
      <c r="H8" s="12" t="inlineStr">
        <is>
          <t>both</t>
        </is>
      </c>
      <c r="I8" s="12" t="inlineStr">
        <is>
          <t>[2026-10-07] Price unchanged, stock &gt;1000. No pad between the AWG and the first amp - a pad there costs C/N dB for dB. -0.5 dB cable. Priced under F2, not separately - these four slot cables come out of the 8-cable allowance.</t>
        </is>
      </c>
    </row>
    <row r="9">
      <c r="A9" s="12" t="inlineStr">
        <is>
          <t>B</t>
        </is>
      </c>
      <c r="B9" s="12" t="n">
        <v>2</v>
      </c>
      <c r="C9" s="12" t="inlineStr">
        <is>
          <t>Front LNA -&gt; +9.5 dBm</t>
        </is>
      </c>
      <c r="D9" s="12" t="inlineStr">
        <is>
          <t>ZX60-P105LN+</t>
        </is>
      </c>
      <c r="E9" s="12" t="n">
        <v>1</v>
      </c>
      <c r="F9" s="15" t="inlineStr">
        <is>
          <t>BUY - ~4 WKS</t>
        </is>
      </c>
      <c r="G9" s="14" t="n">
        <v>119.47</v>
      </c>
      <c r="H9" s="12" t="inlineStr">
        <is>
          <t>both</t>
        </is>
      </c>
      <c r="I9" s="12" t="inlineStr">
        <is>
          <t>[2026-10-07 PRICE CHECK] THE ONLY REMAINING OUT-OF-STOCK PART. MCL direct still 0 ('contact Sales'); DigiKey gives the hard date: 0 in stock, 10 expected 04-Nov-2026, 30-week factory lead, $143.36 at qty 1 (so still buy from MCL at $119.47). The November story was real but it now applies to THIS SLOT ONLY - front LNAs and the IF amp - not to the interstage. Keep the free interim bridges for ~4 weeks. NF ~0.9, G 15.5, P1dB +18.9 = 9.4 dB backoff. INTERIM: owned ZX60-H242+ (free) but its spec ENDS at 2.4 GHz and the band tops at 2.57 - GATE with a 10-minute EXA gain-tilt check first. Contingency if that fails: ZRL-3500+, $185.88, NF 2.3, G 22, P1dB +24.</t>
        </is>
      </c>
    </row>
    <row r="10">
      <c r="A10" s="12" t="inlineStr">
        <is>
          <t>B</t>
        </is>
      </c>
      <c r="B10" s="12" t="n">
        <v>3</v>
      </c>
      <c r="C10" s="12" t="inlineStr">
        <is>
          <t>Noise-free level trim -&gt; +6.5 dBm</t>
        </is>
      </c>
      <c r="D10" s="12" t="inlineStr">
        <is>
          <t>3 dB pad (from K5-BW1+ kit)</t>
        </is>
      </c>
      <c r="E10" s="12" t="n">
        <v>1</v>
      </c>
      <c r="F10" s="13" t="inlineStr">
        <is>
          <t>BUY - IN STOCK</t>
        </is>
      </c>
      <c r="G10" s="14" t="n"/>
      <c r="H10" s="12" t="inlineStr">
        <is>
          <t>both</t>
        </is>
      </c>
      <c r="I10" s="12" t="inlineStr">
        <is>
          <t>[2026-10-07] Price unchanged at $378.24 and stock eased 2 -&gt; 7. Still order it early; DigiKey has 0. Pads AFTER the first amp are free - the signal is &gt;100 dB above kT.</t>
        </is>
      </c>
    </row>
    <row r="11">
      <c r="A11" s="12" t="inlineStr">
        <is>
          <t>B</t>
        </is>
      </c>
      <c r="B11" s="12" t="n">
        <v>4</v>
      </c>
      <c r="C11" s="12" t="inlineStr">
        <is>
          <t>BPF 2020-2660 MHz -&gt; +4.5 dBm</t>
        </is>
      </c>
      <c r="D11" s="12" t="inlineStr">
        <is>
          <t>VBFZ-2340-S+</t>
        </is>
      </c>
      <c r="E11" s="12" t="n">
        <v>1</v>
      </c>
      <c r="F11" s="13" t="inlineStr">
        <is>
          <t>BUY - IN STOCK</t>
        </is>
      </c>
      <c r="G11" s="14" t="n">
        <v>54.13</v>
      </c>
      <c r="H11" s="12" t="inlineStr">
        <is>
          <t>both</t>
        </is>
      </c>
      <c r="I11" s="12" t="inlineStr">
        <is>
          <t>[2026-10-07] Price unchanged, stock &gt;100. Kills LNA harmonics and AWG DAC/DUC images before the tripler. -2 dB with interconnect.</t>
        </is>
      </c>
    </row>
    <row r="12">
      <c r="A12" s="12" t="inlineStr">
        <is>
          <t>B</t>
        </is>
      </c>
      <c r="B12" s="12" t="n">
        <v>5</v>
      </c>
      <c r="C12" s="12" t="inlineStr">
        <is>
          <t>Tripler x3 -&gt; -10.5 dBm</t>
        </is>
      </c>
      <c r="D12" s="12" t="inlineStr">
        <is>
          <t>ZX90-3-812-S+</t>
        </is>
      </c>
      <c r="E12" s="12" t="n">
        <v>1</v>
      </c>
      <c r="F12" s="13" t="inlineStr">
        <is>
          <t>BUY - IN STOCK</t>
        </is>
      </c>
      <c r="G12" s="14" t="n">
        <v>74.29000000000001</v>
      </c>
      <c r="H12" s="12" t="inlineStr">
        <is>
          <t>both</t>
        </is>
      </c>
      <c r="I12" s="12" t="inlineStr">
        <is>
          <t>[2026-10-07 PRICE CHECK] The only price that moved since August: $73.91 -&gt; $74.29 (+$0.38). Stock still &gt;100. In 2.0-2.7, out 6.0-8.1 GHz, drive window 0..+5 dBm - drive at the TOP (+4.5). CL 15 typ / 22 max. F1 only 30 typ / 21 min dBc, which is what makes the next filter load-bearing.</t>
        </is>
      </c>
    </row>
    <row r="13">
      <c r="A13" s="12" t="inlineStr">
        <is>
          <t>B</t>
        </is>
      </c>
      <c r="B13" s="12" t="n">
        <v>6</v>
      </c>
      <c r="C13" s="12" t="inlineStr">
        <is>
          <t>HPF -&gt; -11.7 dBm</t>
        </is>
      </c>
      <c r="D13" s="12" t="inlineStr">
        <is>
          <t>VHF-4600+</t>
        </is>
      </c>
      <c r="E13" s="12" t="n">
        <v>1</v>
      </c>
      <c r="F13" s="13" t="inlineStr">
        <is>
          <t>BUY - IN STOCK</t>
        </is>
      </c>
      <c r="G13" s="14" t="n">
        <v>33.81</v>
      </c>
      <c r="H13" s="12" t="inlineStr">
        <is>
          <t>both</t>
        </is>
      </c>
      <c r="I13" s="12" t="inlineStr">
        <is>
          <t>[2026-10-07] Price unchanged, stock 120 (was 230). Pass 5.2-10.5 GHz. Kills the tripler's 2.15-2.57 GHz F1 leak-through. LOAD-BEARING.</t>
        </is>
      </c>
    </row>
    <row r="14">
      <c r="A14" s="12" t="inlineStr">
        <is>
          <t>B</t>
        </is>
      </c>
      <c r="B14" s="12" t="n">
        <v>7</v>
      </c>
      <c r="C14" s="12" t="inlineStr">
        <is>
          <t>LPF -&gt; -13.0 dBm</t>
        </is>
      </c>
      <c r="D14" s="12" t="inlineStr">
        <is>
          <t>VLF-8400+</t>
        </is>
      </c>
      <c r="E14" s="12" t="n">
        <v>1</v>
      </c>
      <c r="F14" s="13" t="inlineStr">
        <is>
          <t>BUY - IN STOCK</t>
        </is>
      </c>
      <c r="G14" s="14" t="n">
        <v>33.81</v>
      </c>
      <c r="H14" s="12" t="inlineStr">
        <is>
          <t>both</t>
        </is>
      </c>
      <c r="I14" s="12" t="inlineStr">
        <is>
          <t>[2026-10-07] Price unchanged, stock 197 (was 558). Kills F4+ and the F2 residue at 4.30-5.14 GHz, which would otherwise land IN BAND at 12.9-15.4 GHz after the doubler. NOT VHF-8400+ - that part's passband ends at 13 GHz and cannot pass 15.42.</t>
        </is>
      </c>
    </row>
    <row r="15">
      <c r="A15" s="12" t="inlineStr">
        <is>
          <t>B</t>
        </is>
      </c>
      <c r="B15" s="12" t="n">
        <v>8</v>
      </c>
      <c r="C15" s="12" t="inlineStr">
        <is>
          <t>Interstage amp -&gt; +6.8 dBm</t>
        </is>
      </c>
      <c r="D15" s="12" t="inlineStr">
        <is>
          <t>ZX60-83LN-S+</t>
        </is>
      </c>
      <c r="E15" s="12" t="n">
        <v>1</v>
      </c>
      <c r="F15" s="22" t="inlineStr">
        <is>
          <t>DO NOT BUY</t>
        </is>
      </c>
      <c r="G15" s="14" t="n">
        <v>219.09</v>
      </c>
      <c r="H15" s="12" t="inlineStr">
        <is>
          <t>REJECTED (MMD)</t>
        </is>
      </c>
      <c r="I15" s="12" t="inlineStr">
        <is>
          <t>[2026-10-07 PRICE CHECK] REJECTED with the MMD-1030LS - see that row. G 19.8, 12.7 dB below P1dB. SINGLE stage on this route, no 12.5 dB pad. INTERIM: TB-830A+ ($141.61) - eval board of PMA3-83LN+, the same MMIC inside the ZX60; MMIC stock &gt;1000, the puck assembly is the Nov bottleneck. Open PCB, needs +5 V bench supply; CONFIRM it ships with SMA.</t>
        </is>
      </c>
    </row>
    <row r="16">
      <c r="A16" s="12" t="inlineStr">
        <is>
          <t>B</t>
        </is>
      </c>
      <c r="B16" s="12" t="n">
        <v>8</v>
      </c>
      <c r="C16" s="12" t="inlineStr">
        <is>
          <t>ALTERNATIVE interstage: two stages + pad -&gt; +12.3 dBm</t>
        </is>
      </c>
      <c r="D16" s="12" t="inlineStr">
        <is>
          <t>ZX60-83LN-S+ x2 + 12.5 dB pad</t>
        </is>
      </c>
      <c r="E16" s="12" t="n">
        <v>2</v>
      </c>
      <c r="F16" s="13" t="inlineStr">
        <is>
          <t>BUY - IN STOCK</t>
        </is>
      </c>
      <c r="G16" s="14" t="n">
        <v>219.09</v>
      </c>
      <c r="H16" s="12" t="inlineStr">
        <is>
          <t>PRIMARY</t>
        </is>
      </c>
      <c r="I16" s="12" t="inlineStr">
        <is>
          <t>[2026-10-07 PRICE CHECK] NOW THE PRIMARY ROUTE. MCL direct stock flipped 0 -&gt; MORE THAN 100 at an unchanged $219.09, so the November bottleneck on this part is GONE and the TB-830A+ bridge is no longer needed. Buy from MCL DIRECT, not a distributor: DigiKey shows 0 in stock, 10 expected 27-Oct-2026, at $262.91 - i.e. $43.82/unit more for a part MCL has on the shelf. Only if the MMD-1030LS is not bought. 19 dB -&gt; 12.5 dB pad -&gt; 18.8 dB lands +12.3 dBm, which is what the owned ZX90-2-24-S+ needs (its floor is +11, so 1.3 dB of margin). Second stage sits at 5.7 dB backoff - right at the &gt;=5 dB rule edge.</t>
        </is>
      </c>
    </row>
    <row r="17">
      <c r="A17" s="12" t="inlineStr">
        <is>
          <t>B</t>
        </is>
      </c>
      <c r="B17" s="12" t="n">
        <v>9</v>
      </c>
      <c r="C17" s="12" t="inlineStr">
        <is>
          <t>Doubler x2 -&gt; -5.7 dBm, out 12.91-15.42 GHz</t>
        </is>
      </c>
      <c r="D17" s="12" t="inlineStr">
        <is>
          <t>Marki MMD-1030LS</t>
        </is>
      </c>
      <c r="E17" s="12" t="n">
        <v>1</v>
      </c>
      <c r="F17" s="22" t="inlineStr">
        <is>
          <t>DO NOT BUY</t>
        </is>
      </c>
      <c r="G17" s="14" t="n">
        <v>783.2</v>
      </c>
      <c r="H17" s="12" t="inlineStr">
        <is>
          <t>REJECTED</t>
        </is>
      </c>
      <c r="I17" s="12" t="inlineStr">
        <is>
          <t>[2026-10-07 PRICE CHECK] DECISION RESOLVED - NO. $783.20 at qty 1-4 ($737.13 at 5-9), and 0 in stock AND 0 factory stock with no quotable lead time (Marki shop and the RFMW mirror agree). Two units = $1,566.40 against $983.00 for the ZX90 route whose parts are all on the shelf today - $1,021.58 more for a part that cannot be delivered. Your standing decision was 'buy 2x depending on price'; the price answers it. The AM-PM gate at step 2.3 also disappears with it, since +6.8 dBm would have sat 8 dB below this part's window top. In 5-15, out 10-30 GHz, drive 5-15 nom +7, CL 12.5/14, F1 38 dBc, F3 46 dBc. SMA in / 2.92 out. +6.8 dBm drive is 8 dB below window top -&gt; GATE with run_am_pm.py A/B against the owned ZX90 before committing it to the CHIRP path. Marki shop / RFMW are bot-blocked - price manually.</t>
        </is>
      </c>
    </row>
    <row r="18">
      <c r="A18" s="12" t="inlineStr">
        <is>
          <t>B</t>
        </is>
      </c>
      <c r="B18" s="12" t="n">
        <v>9</v>
      </c>
      <c r="C18" s="12" t="inlineStr">
        <is>
          <t>ALTERNATIVE doubler -&gt; +0.3 dBm</t>
        </is>
      </c>
      <c r="D18" s="12" t="inlineStr">
        <is>
          <t>ZX90-2-24-S+ (#1)</t>
        </is>
      </c>
      <c r="E18" s="12" t="n">
        <v>1</v>
      </c>
      <c r="F18" s="13" t="inlineStr">
        <is>
          <t>OWNED</t>
        </is>
      </c>
      <c r="G18" s="14" t="n"/>
      <c r="H18" s="12" t="inlineStr">
        <is>
          <t>PRIMARY</t>
        </is>
      </c>
      <c r="I18" s="12" t="inlineStr">
        <is>
          <t>[2026-10-07 PRICE CHECK] Now the primary Tx doubler - the MMD-1030LS is rejected. CL measured 11.7-12.9 dB on this bench. Its 21.9 dBc F1 dip at 7.0 GHz is out of band and ACST say out-of-band content does not matter to the AMC. Needs the two-stage interstage above.</t>
        </is>
      </c>
    </row>
    <row r="19">
      <c r="A19" s="12" t="inlineStr">
        <is>
          <t>B</t>
        </is>
      </c>
      <c r="B19" s="12" t="n">
        <v>10</v>
      </c>
      <c r="C19" s="12" t="inlineStr">
        <is>
          <t>Trim pad (ZX90 route only)</t>
        </is>
      </c>
      <c r="D19" s="12" t="inlineStr">
        <is>
          <t>3 dB pad (from kit)</t>
        </is>
      </c>
      <c r="E19" s="12" t="n">
        <v>1</v>
      </c>
      <c r="F19" s="12" t="inlineStr">
        <is>
          <t>BUY (kit)</t>
        </is>
      </c>
      <c r="G19" s="14" t="n"/>
      <c r="H19" s="12" t="inlineStr">
        <is>
          <t>PRIMARY</t>
        </is>
      </c>
      <c r="I19" s="12" t="inlineStr">
        <is>
          <t>Set on the bench to land the AMC at ~+5 dBm. Not needed on the MMD route.</t>
        </is>
      </c>
    </row>
    <row r="20">
      <c r="A20" s="12" t="inlineStr">
        <is>
          <t>B</t>
        </is>
      </c>
      <c r="B20" s="12" t="n">
        <v>11</v>
      </c>
      <c r="C20" s="12" t="inlineStr">
        <is>
          <t>Output amp -&gt; +5.3 dBm</t>
        </is>
      </c>
      <c r="D20" s="12" t="inlineStr">
        <is>
          <t>ZX60-04183LN+</t>
        </is>
      </c>
      <c r="E20" s="12" t="n">
        <v>1</v>
      </c>
      <c r="F20" s="13" t="inlineStr">
        <is>
          <t>OWNED</t>
        </is>
      </c>
      <c r="G20" s="14" t="n"/>
      <c r="H20" s="12" t="inlineStr">
        <is>
          <t>both</t>
        </is>
      </c>
      <c r="I20" s="12" t="inlineStr">
        <is>
          <t>4-18 GHz, G ~11 at 14 GHz, P1dB +15 = ~13 dB backoff. The only on-hand amp covering 13-15 GHz.</t>
        </is>
      </c>
    </row>
    <row r="21">
      <c r="A21" s="12" t="inlineStr">
        <is>
          <t>B</t>
        </is>
      </c>
      <c r="B21" s="12" t="n">
        <v>12</v>
      </c>
      <c r="C21" s="12" t="inlineStr">
        <is>
          <t>Isolator -&gt; +4.4 dBm</t>
        </is>
      </c>
      <c r="D21" s="12" t="inlineStr">
        <is>
          <t>PE83IR1023</t>
        </is>
      </c>
      <c r="E21" s="12" t="n">
        <v>1</v>
      </c>
      <c r="F21" s="13" t="inlineStr">
        <is>
          <t>OWNED</t>
        </is>
      </c>
      <c r="G21" s="14" t="n"/>
      <c r="H21" s="12" t="inlineStr">
        <is>
          <t>both</t>
        </is>
      </c>
      <c r="I21" s="12" t="inlineStr">
        <is>
          <t>8-18 GHz, IL 1.4 dB max, 32 dB isolation. Protects the doubler and amp from AMC input reflections.</t>
        </is>
      </c>
    </row>
    <row r="22">
      <c r="A22" s="12" t="inlineStr">
        <is>
          <t>B</t>
        </is>
      </c>
      <c r="B22" s="12" t="n">
        <v>13</v>
      </c>
      <c r="C22" s="12" t="inlineStr">
        <is>
          <t>Cable to AMC -&gt; +3.8 dBm at the AMC input</t>
        </is>
      </c>
      <c r="D22" s="12" t="inlineStr">
        <is>
          <t>141-12SM+ Hand-Flex</t>
        </is>
      </c>
      <c r="E22" s="12" t="n">
        <v>1</v>
      </c>
      <c r="F22" s="13" t="inlineStr">
        <is>
          <t>BUY - IN STOCK</t>
        </is>
      </c>
      <c r="G22" s="14" t="n"/>
      <c r="H22" s="12" t="inlineStr">
        <is>
          <t>both</t>
        </is>
      </c>
      <c r="I22" s="12" t="inlineStr">
        <is>
          <t>[2026-10-07] Price unchanged, stock &gt;1000. AMC window is 0..+7 dBm, typ +5. Weak edge lands +3.8, strong edge +5.1 - in window, near typ. No output filter (ACST: out-of-band content does not matter). If the bench wants more, revert to the ZX90 route or add a second amp. Priced under F2, not separately - these four slot cables come out of the 8-cable allowance.</t>
        </is>
      </c>
    </row>
    <row r="23">
      <c r="A23" s="8" t="inlineStr">
        <is>
          <t>C - Rx LO chain: AWG CH2 -&gt; MixAMC LO  (identical to B through the doubler, second units)</t>
        </is>
      </c>
      <c r="B23" s="9" t="n"/>
      <c r="C23" s="9" t="n"/>
      <c r="D23" s="9" t="n"/>
      <c r="E23" s="9" t="n"/>
      <c r="F23" s="9" t="n"/>
      <c r="G23" s="9" t="n"/>
      <c r="H23" s="9" t="n"/>
      <c r="I23" s="11" t="n"/>
    </row>
    <row r="24">
      <c r="A24" s="12" t="inlineStr">
        <is>
          <t>C</t>
        </is>
      </c>
      <c r="B24" s="12" t="n">
        <v>1</v>
      </c>
      <c r="C24" s="12" t="inlineStr">
        <is>
          <t>AWG CH2 out, CW -&gt; -5.5 dBm</t>
        </is>
      </c>
      <c r="D24" s="12" t="inlineStr">
        <is>
          <t>141-12SM+ Hand-Flex 12 in SMA</t>
        </is>
      </c>
      <c r="E24" s="12" t="n">
        <v>1</v>
      </c>
      <c r="F24" s="13" t="inlineStr">
        <is>
          <t>BUY - IN STOCK</t>
        </is>
      </c>
      <c r="G24" s="14" t="n"/>
      <c r="H24" s="12" t="inlineStr">
        <is>
          <t>both</t>
        </is>
      </c>
      <c r="I24" s="12" t="inlineStr">
        <is>
          <t>[2026-10-07] Price unchanged, stock &gt;1000. Per-segment CH2 amplitude scalars are LOAD-BEARING: they hold -6.0 dBm at the MixAMC across the 1.3 dB band tilt AND keep the conversion loss drive-constant from segment to segment. Priced under F2, not separately - these four slot cables come out of the 8-cable allowance.</t>
        </is>
      </c>
    </row>
    <row r="25">
      <c r="A25" s="12" t="inlineStr">
        <is>
          <t>C</t>
        </is>
      </c>
      <c r="B25" s="12" t="n">
        <v>2</v>
      </c>
      <c r="C25" s="12" t="inlineStr">
        <is>
          <t>Front LNA -&gt; +9.5 dBm</t>
        </is>
      </c>
      <c r="D25" s="12" t="inlineStr">
        <is>
          <t>ZX60-P105LN+</t>
        </is>
      </c>
      <c r="E25" s="12" t="n">
        <v>1</v>
      </c>
      <c r="F25" s="15" t="inlineStr">
        <is>
          <t>BUY - ~4 WKS</t>
        </is>
      </c>
      <c r="G25" s="14" t="n">
        <v>119.47</v>
      </c>
      <c r="H25" s="12" t="inlineStr">
        <is>
          <t>both</t>
        </is>
      </c>
      <c r="I25" s="12" t="inlineStr">
        <is>
          <t>[2026-10-07 PRICE CHECK] THE ONLY REMAINING OUT-OF-STOCK PART. MCL direct still 0 ('contact Sales'); DigiKey gives the hard date: 0 in stock, 10 expected 04-Nov-2026, 30-week factory lead, $143.36 at qty 1 (so still buy from MCL at $119.47). The November story was real but it now applies to THIS SLOT ONLY - front LNAs and the IF amp - not to the interstage. Keep the free interim bridges for ~4 weeks. INTERIM: owned ZX60-123LN-S+ (free, in spec 0.5-12 GHz, NF 2.1 = best on hand, G 18.9, P1dB +16.5). Only 2-4 dB of backoff, which is acceptable HERE because the LO is CW - no envelope, so no AM-PM. For exactly that reason it is NOT usable in the Tx front slot.</t>
        </is>
      </c>
    </row>
    <row r="26">
      <c r="A26" s="12" t="inlineStr">
        <is>
          <t>C</t>
        </is>
      </c>
      <c r="B26" s="12" t="n">
        <v>3</v>
      </c>
      <c r="C26" s="12" t="inlineStr">
        <is>
          <t>Level trim -&gt; +6.5 dBm</t>
        </is>
      </c>
      <c r="D26" s="12" t="inlineStr">
        <is>
          <t>3 dB pad (from kit)</t>
        </is>
      </c>
      <c r="E26" s="12" t="n">
        <v>1</v>
      </c>
      <c r="F26" s="12" t="inlineStr">
        <is>
          <t>BUY (kit)</t>
        </is>
      </c>
      <c r="G26" s="14" t="n"/>
      <c r="H26" s="12" t="inlineStr">
        <is>
          <t>both</t>
        </is>
      </c>
      <c r="I26" s="12" t="inlineStr">
        <is>
          <t>Same as B3.</t>
        </is>
      </c>
    </row>
    <row r="27">
      <c r="A27" s="12" t="inlineStr">
        <is>
          <t>C</t>
        </is>
      </c>
      <c r="B27" s="12" t="n">
        <v>4</v>
      </c>
      <c r="C27" s="12" t="inlineStr">
        <is>
          <t>BPF 2020-2660 MHz -&gt; +4.5 dBm</t>
        </is>
      </c>
      <c r="D27" s="12" t="inlineStr">
        <is>
          <t>VBFZ-2340-S+</t>
        </is>
      </c>
      <c r="E27" s="12" t="n">
        <v>1</v>
      </c>
      <c r="F27" s="13" t="inlineStr">
        <is>
          <t>BUY - IN STOCK</t>
        </is>
      </c>
      <c r="G27" s="14" t="n">
        <v>54.13</v>
      </c>
      <c r="H27" s="12" t="inlineStr">
        <is>
          <t>both</t>
        </is>
      </c>
      <c r="I27" s="12" t="inlineStr">
        <is>
          <t>[2026-10-07] Price unchanged, stock &gt;100. Second unit.</t>
        </is>
      </c>
    </row>
    <row r="28">
      <c r="A28" s="12" t="inlineStr">
        <is>
          <t>C</t>
        </is>
      </c>
      <c r="B28" s="12" t="n">
        <v>5</v>
      </c>
      <c r="C28" s="12" t="inlineStr">
        <is>
          <t>Tripler x3 -&gt; -10.5 dBm</t>
        </is>
      </c>
      <c r="D28" s="12" t="inlineStr">
        <is>
          <t>ZX90-3-812-S+</t>
        </is>
      </c>
      <c r="E28" s="12" t="n">
        <v>1</v>
      </c>
      <c r="F28" s="13" t="inlineStr">
        <is>
          <t>BUY - IN STOCK</t>
        </is>
      </c>
      <c r="G28" s="14" t="n">
        <v>74.29000000000001</v>
      </c>
      <c r="H28" s="12" t="inlineStr">
        <is>
          <t>both</t>
        </is>
      </c>
      <c r="I28" s="12" t="inlineStr">
        <is>
          <t>[2026-10-07 PRICE CHECK] The only price that moved since August: $73.91 -&gt; $74.29 (+$0.38). Stock still &gt;100. Second unit.</t>
        </is>
      </c>
    </row>
    <row r="29">
      <c r="A29" s="12" t="inlineStr">
        <is>
          <t>C</t>
        </is>
      </c>
      <c r="B29" s="12" t="n">
        <v>6</v>
      </c>
      <c r="C29" s="12" t="inlineStr">
        <is>
          <t>HPF -&gt; -11.7 dBm</t>
        </is>
      </c>
      <c r="D29" s="12" t="inlineStr">
        <is>
          <t>VHF-4600+</t>
        </is>
      </c>
      <c r="E29" s="12" t="n">
        <v>1</v>
      </c>
      <c r="F29" s="13" t="inlineStr">
        <is>
          <t>BUY - IN STOCK</t>
        </is>
      </c>
      <c r="G29" s="14" t="n">
        <v>33.81</v>
      </c>
      <c r="H29" s="12" t="inlineStr">
        <is>
          <t>both</t>
        </is>
      </c>
      <c r="I29" s="12" t="inlineStr">
        <is>
          <t>[2026-10-07] Price unchanged, stock 120 (was 230). Second unit.</t>
        </is>
      </c>
    </row>
    <row r="30">
      <c r="A30" s="12" t="inlineStr">
        <is>
          <t>C</t>
        </is>
      </c>
      <c r="B30" s="12" t="n">
        <v>7</v>
      </c>
      <c r="C30" s="12" t="inlineStr">
        <is>
          <t>LPF -&gt; -13.0 dBm</t>
        </is>
      </c>
      <c r="D30" s="12" t="inlineStr">
        <is>
          <t>VLF-8400+</t>
        </is>
      </c>
      <c r="E30" s="12" t="n">
        <v>1</v>
      </c>
      <c r="F30" s="13" t="inlineStr">
        <is>
          <t>BUY - IN STOCK</t>
        </is>
      </c>
      <c r="G30" s="14" t="n">
        <v>33.81</v>
      </c>
      <c r="H30" s="12" t="inlineStr">
        <is>
          <t>both</t>
        </is>
      </c>
      <c r="I30" s="12" t="inlineStr">
        <is>
          <t>[2026-10-07] Price unchanged, stock 197 (was 558). Second unit.</t>
        </is>
      </c>
    </row>
    <row r="31">
      <c r="A31" s="12" t="inlineStr">
        <is>
          <t>C</t>
        </is>
      </c>
      <c r="B31" s="12" t="n">
        <v>8</v>
      </c>
      <c r="C31" s="12" t="inlineStr">
        <is>
          <t>Interstage amp -&gt; +6.8 dBm</t>
        </is>
      </c>
      <c r="D31" s="12" t="inlineStr">
        <is>
          <t>ZX60-83LN-S+</t>
        </is>
      </c>
      <c r="E31" s="12" t="n">
        <v>1</v>
      </c>
      <c r="F31" s="22" t="inlineStr">
        <is>
          <t>DO NOT BUY</t>
        </is>
      </c>
      <c r="G31" s="14" t="n">
        <v>219.09</v>
      </c>
      <c r="H31" s="12" t="inlineStr">
        <is>
          <t>REJECTED (MMD)</t>
        </is>
      </c>
      <c r="I31" s="12" t="inlineStr">
        <is>
          <t>[2026-10-07 PRICE CHECK] REJECTED with the MMD-1030LS - see that row. Single stage, as B8. INTERIM: TB-830A+. On the ZX90 fallback this becomes 2 units + a 12.5 dB pad.</t>
        </is>
      </c>
    </row>
    <row r="32">
      <c r="A32" s="12" t="inlineStr">
        <is>
          <t>C</t>
        </is>
      </c>
      <c r="B32" s="12" t="n">
        <v>9</v>
      </c>
      <c r="C32" s="12" t="inlineStr">
        <is>
          <t>Doubler x2 -&gt; -5.7 dBm</t>
        </is>
      </c>
      <c r="D32" s="12" t="inlineStr">
        <is>
          <t>Marki MMD-1030LS</t>
        </is>
      </c>
      <c r="E32" s="12" t="n">
        <v>1</v>
      </c>
      <c r="F32" s="22" t="inlineStr">
        <is>
          <t>DO NOT BUY</t>
        </is>
      </c>
      <c r="G32" s="14" t="n">
        <v>783.2</v>
      </c>
      <c r="H32" s="12" t="inlineStr">
        <is>
          <t>REJECTED</t>
        </is>
      </c>
      <c r="I32" s="12" t="inlineStr">
        <is>
          <t>[2026-10-07 PRICE CHECK] DECISION RESOLVED - NO. $783.20 at qty 1-4 ($737.13 at 5-9), and 0 in stock AND 0 factory stock with no quotable lead time (Marki shop and the RFMW mirror agree). Two units = $1,566.40 against $983.00 for the ZX90 route whose parts are all on the shelf today - $1,021.58 more for a part that cannot be delivered. Your standing decision was 'buy 2x depending on price'; the price answers it. The AM-PM gate at step 2.3 also disappears with it, since +6.8 dBm would have sat 8 dB below this part's window top. Output lands AT the MixAMC's -6 dBm target with zero further parts - this is the single biggest argument for the part. CW here, so nominal drive is fine and no AM-PM gate is needed on this unit.</t>
        </is>
      </c>
    </row>
    <row r="33">
      <c r="A33" s="12" t="inlineStr">
        <is>
          <t>C</t>
        </is>
      </c>
      <c r="B33" s="12" t="n">
        <v>9</v>
      </c>
      <c r="C33" s="12" t="inlineStr">
        <is>
          <t>ALTERNATIVE doubler -&gt; +0.3 dBm, then a 6 dB pad</t>
        </is>
      </c>
      <c r="D33" s="12" t="inlineStr">
        <is>
          <t>ZX90-2-24-S+ (#2)</t>
        </is>
      </c>
      <c r="E33" s="12" t="n">
        <v>1</v>
      </c>
      <c r="F33" s="13" t="inlineStr">
        <is>
          <t>BUY - IN STOCK</t>
        </is>
      </c>
      <c r="G33" s="14" t="n">
        <v>106.64</v>
      </c>
      <c r="H33" s="12" t="inlineStr">
        <is>
          <t>PRIMARY</t>
        </is>
      </c>
      <c r="I33" s="12" t="inlineStr">
        <is>
          <t>[2026-10-07 PRICE CHECK] UN-CANCELLED and now buyable: MCL direct stock flipped 0 -&gt; 21 at an unchanged $106.64. The owned MMD-0415HS off-spec bridge is no longer needed. CANCELLED on the MMD route. Note KSX2-24+ ($6.88, stock &gt;1000) is the same die, with a TB-KSX2-24+ board, if the connectorised puck is the holdup. INTERIM bridge: owned MMD-0415HS, off-spec at both band tops (7.71 vs 7.5 in, 15.42 vs 15 out) but CW-tolerable.</t>
        </is>
      </c>
    </row>
    <row r="34">
      <c r="A34" s="12" t="inlineStr">
        <is>
          <t>C</t>
        </is>
      </c>
      <c r="B34" s="12" t="n">
        <v>10</v>
      </c>
      <c r="C34" s="12" t="inlineStr">
        <is>
          <t>Final trim -&gt; -6.0 dBm at the MixAMC LO port</t>
        </is>
      </c>
      <c r="D34" s="12" t="inlineStr">
        <is>
          <t>0-1 dB pad + cable</t>
        </is>
      </c>
      <c r="E34" s="12" t="n">
        <v>1</v>
      </c>
      <c r="F34" s="12" t="inlineStr">
        <is>
          <t>BUY (kit)</t>
        </is>
      </c>
      <c r="G34" s="14" t="n"/>
      <c r="H34" s="12" t="inlineStr">
        <is>
          <t>both</t>
        </is>
      </c>
      <c r="I34" s="12" t="inlineStr">
        <is>
          <t>HARD GATE: the MixAMC LO window is -8 min / -6 typ / -2 MAX dBm. Verify on the EXA before the first connect and NEVER exceed -2. No output amp and no isolator on this chain - a 6 dB pad already gives 12 dB of return isolation for a CW LO.</t>
        </is>
      </c>
    </row>
    <row r="35">
      <c r="A35" s="8" t="inlineStr">
        <is>
          <t>D - IF chain: MixAMC IF -&gt; scope</t>
        </is>
      </c>
      <c r="B35" s="9" t="n"/>
      <c r="C35" s="9" t="n"/>
      <c r="D35" s="9" t="n"/>
      <c r="E35" s="9" t="n"/>
      <c r="F35" s="9" t="n"/>
      <c r="G35" s="9" t="n"/>
      <c r="H35" s="9" t="n"/>
      <c r="I35" s="11" t="n"/>
    </row>
    <row r="36">
      <c r="A36" s="12" t="inlineStr">
        <is>
          <t>D</t>
        </is>
      </c>
      <c r="B36" s="12" t="n">
        <v>1</v>
      </c>
      <c r="C36" s="12" t="inlineStr">
        <is>
          <t>DC block at the IF port</t>
        </is>
      </c>
      <c r="D36" s="12" t="inlineStr">
        <is>
          <t>BLK-18-S+</t>
        </is>
      </c>
      <c r="E36" s="12" t="n">
        <v>1</v>
      </c>
      <c r="F36" s="13" t="inlineStr">
        <is>
          <t>BUY - IN STOCK</t>
        </is>
      </c>
      <c r="G36" s="14" t="n">
        <v>29.73</v>
      </c>
      <c r="H36" s="12" t="inlineStr">
        <is>
          <t>both</t>
        </is>
      </c>
      <c r="I36" s="12" t="inlineStr">
        <is>
          <t>[2026-10-07] Price unchanged, stock &gt;1000. -0.2 dB. Stays in until ACST confirm there is no DC on the IF port.</t>
        </is>
      </c>
    </row>
    <row r="37">
      <c r="A37" s="12" t="inlineStr">
        <is>
          <t>D</t>
        </is>
      </c>
      <c r="B37" s="12" t="n">
        <v>2</v>
      </c>
      <c r="C37" s="12" t="inlineStr">
        <is>
          <t>IF bandpass 710-850 MHz</t>
        </is>
      </c>
      <c r="D37" s="12" t="inlineStr">
        <is>
          <t>VBFZ-780-S+</t>
        </is>
      </c>
      <c r="E37" s="12" t="n">
        <v>1</v>
      </c>
      <c r="F37" s="13" t="inlineStr">
        <is>
          <t>BUY - IN STOCK</t>
        </is>
      </c>
      <c r="G37" s="14" t="n">
        <v>54.13</v>
      </c>
      <c r="H37" s="12" t="inlineStr">
        <is>
          <t>both</t>
        </is>
      </c>
      <c r="I37" s="12" t="inlineStr">
        <is>
          <t>[2026-10-07] Price unchanged, stock 54. -1.8 dB. BEFORE the LNA, deliberately: the chirp's detected-envelope/video transient (DC to a few MHz) dies 60-80 dB before any amplification, and the insertion loss costs only ~0.03 dB of NF behind the MixAMC's internal +20 dB. Stopband &gt;=30 dB below 440 MHz and across 1.32-16 GHz, which kills both the CH2 leak at 2.15-2.57 GHz and the internal x12 chain leak at 12.9-15.4 GHz. Bandpass, not lowpass, so low-frequency junk dies too (user's call 2026-08-05).</t>
        </is>
      </c>
    </row>
    <row r="38">
      <c r="A38" s="12" t="inlineStr">
        <is>
          <t>D</t>
        </is>
      </c>
      <c r="B38" s="12" t="n">
        <v>3</v>
      </c>
      <c r="C38" s="12" t="inlineStr">
        <is>
          <t>IF LNA</t>
        </is>
      </c>
      <c r="D38" s="12" t="inlineStr">
        <is>
          <t>ZX60-P105LN+</t>
        </is>
      </c>
      <c r="E38" s="12" t="n">
        <v>1</v>
      </c>
      <c r="F38" s="15" t="inlineStr">
        <is>
          <t>BUY - ~4 WKS</t>
        </is>
      </c>
      <c r="G38" s="14" t="n">
        <v>119.47</v>
      </c>
      <c r="H38" s="12" t="inlineStr">
        <is>
          <t>both</t>
        </is>
      </c>
      <c r="I38" s="12" t="inlineStr">
        <is>
          <t>[2026-10-07 PRICE CHECK] THE ONLY REMAINING OUT-OF-STOCK PART. MCL direct still 0 ('contact Sales'); DigiKey gives the hard date: 0 in stock, 10 expected 04-Nov-2026, 30-week factory lead, $143.36 at qty 1 (so still buy from MCL at $119.47). The November story was real but it now applies to THIS SLOT ONLY - front LNAs and the IF amp - not to the interstage. Keep the free interim bridges for ~4 weeks. NF ~0.9, G 15.5. ONE external stage - the internal +20 dB does most of the work. INTERIM: run AMPLESS (~1.8 dB NF penalty, fine for first light), or the freed H242 if a ZRL-3500+ was bought for the Tx front. ZFL-1000LN+ is REJECTED - its P1dB +3 would clip the chirp leak by ~10 dB.</t>
        </is>
      </c>
    </row>
    <row r="39">
      <c r="A39" s="12" t="inlineStr">
        <is>
          <t>D</t>
        </is>
      </c>
      <c r="B39" s="12" t="n">
        <v>4</v>
      </c>
      <c r="C39" s="12" t="inlineStr">
        <is>
          <t>Cable to scope, 50 ohm</t>
        </is>
      </c>
      <c r="D39" s="12" t="inlineStr">
        <is>
          <t>141-12SM+ Hand-Flex</t>
        </is>
      </c>
      <c r="E39" s="12" t="n">
        <v>1</v>
      </c>
      <c r="F39" s="13" t="inlineStr">
        <is>
          <t>BUY - IN STOCK</t>
        </is>
      </c>
      <c r="G39" s="14" t="n"/>
      <c r="H39" s="12" t="inlineStr">
        <is>
          <t>both</t>
        </is>
      </c>
      <c r="I39" s="12" t="inlineStr">
        <is>
          <t>[2026-10-07] Price unchanged, stock &gt;1000. Leak at the scope is 0.60 V RMS at Tx typ, 1.34 V RMS at AMC max - safe against the 50 ohm input's 5 V RMS limit. Priced under F2, not separately - these four slot cables come out of the 8-cable allowance.</t>
        </is>
      </c>
    </row>
    <row r="40">
      <c r="A40" s="8" t="inlineStr">
        <is>
          <t>E - mm-wave front end (ACST quote A-241209-2, already quoted/ordered)</t>
        </is>
      </c>
      <c r="B40" s="9" t="n"/>
      <c r="C40" s="9" t="n"/>
      <c r="D40" s="9" t="n"/>
      <c r="E40" s="9" t="n"/>
      <c r="F40" s="9" t="n"/>
      <c r="G40" s="9" t="n"/>
      <c r="H40" s="9" t="n"/>
      <c r="I40" s="11" t="n"/>
    </row>
    <row r="41">
      <c r="A41" s="12" t="inlineStr">
        <is>
          <t>E</t>
        </is>
      </c>
      <c r="B41" s="12" t="n">
        <v>1</v>
      </c>
      <c r="C41" s="12" t="inlineStr">
        <is>
          <t>Tx x24 AMC, out 310-370 GHz</t>
        </is>
      </c>
      <c r="D41" s="12" t="inlineStr">
        <is>
          <t>ACST 1211B-24AL</t>
        </is>
      </c>
      <c r="E41" s="12" t="n">
        <v>1</v>
      </c>
      <c r="F41" s="13" t="inlineStr">
        <is>
          <t>ACST</t>
        </is>
      </c>
      <c r="G41" s="14" t="n"/>
      <c r="H41" s="12" t="inlineStr">
        <is>
          <t>both</t>
        </is>
      </c>
      <c r="I41" s="12" t="inlineStr">
        <is>
          <t>In 12.91-15.42 GHz (SMA), out WR-2.8. Input 0 / +5 typ / +7 max dBm - a window only 7 dB wide, and the binding constraint on the whole Tx chain. Output +8 min / +10 typ / +17 max dBm. An optional integrated 1-25 dB variable attenuator exists for level control.</t>
        </is>
      </c>
    </row>
    <row r="42">
      <c r="A42" s="12" t="inlineStr">
        <is>
          <t>E</t>
        </is>
      </c>
      <c r="B42" s="12" t="n">
        <v>2</v>
      </c>
      <c r="C42" s="12" t="inlineStr">
        <is>
          <t>Rx subharmonic mixer + x12 AMC = x24</t>
        </is>
      </c>
      <c r="D42" s="12" t="inlineStr">
        <is>
          <t>ACST MixAMC WR2.8, 250-400 GHz</t>
        </is>
      </c>
      <c r="E42" s="12" t="n">
        <v>1</v>
      </c>
      <c r="F42" s="13" t="inlineStr">
        <is>
          <t>ACST</t>
        </is>
      </c>
      <c r="G42" s="14" t="n"/>
      <c r="H42" s="12" t="inlineStr">
        <is>
          <t>both</t>
        </is>
      </c>
      <c r="I42" s="12" t="inlineStr">
        <is>
          <t>LO -8 min / -6 typ / -2 MAX dBm - only a 6 dB window. Internal IF gain +20 dB; CL 6/8/30 dB, usable window ~270-370 GHz; IF spec'd &lt;=1 GHz. Net RF-&gt;IF gain +12 dB typ. RF port is linear below -10 dBm and DAMAGED at 0 dBm.</t>
        </is>
      </c>
    </row>
    <row r="43">
      <c r="A43" s="12" t="inlineStr">
        <is>
          <t>E</t>
        </is>
      </c>
      <c r="B43" s="12" t="n">
        <v>3</v>
      </c>
      <c r="C43" s="12" t="inlineStr">
        <is>
          <t>Horn antennas, ~25 dBi class</t>
        </is>
      </c>
      <c r="D43" s="12" t="inlineStr">
        <is>
          <t>ACST 527G WR-2.8 horn</t>
        </is>
      </c>
      <c r="E43" s="12" t="n">
        <v>2</v>
      </c>
      <c r="F43" s="13" t="inlineStr">
        <is>
          <t>ACST</t>
        </is>
      </c>
      <c r="G43" s="14" t="n"/>
      <c r="H43" s="12" t="inlineStr">
        <is>
          <t>both</t>
        </is>
      </c>
      <c r="I43" s="12" t="inlineStr">
        <is>
          <t>One on the AMC, one on the MixAMC, facing at &gt;=0.5 m. That geometry gives about -27 dB of coupling (Friis), so the chirp leak is -17 dBm at Tx typ: inside the mixer's linear range with ~7 dB of margin. Do NOT add quasi-optical focusing - it would couple far more and destroy the mixer.</t>
        </is>
      </c>
    </row>
    <row r="44">
      <c r="A44" s="8" t="inlineStr">
        <is>
          <t>F - Shared, test and infrastructure</t>
        </is>
      </c>
      <c r="B44" s="9" t="n"/>
      <c r="C44" s="9" t="n"/>
      <c r="D44" s="9" t="n"/>
      <c r="E44" s="9" t="n"/>
      <c r="F44" s="9" t="n"/>
      <c r="G44" s="9" t="n"/>
      <c r="H44" s="9" t="n"/>
      <c r="I44" s="11" t="n"/>
    </row>
    <row r="45">
      <c r="A45" s="12" t="inlineStr">
        <is>
          <t>F</t>
        </is>
      </c>
      <c r="B45" s="12" t="n">
        <v>1</v>
      </c>
      <c r="C45" s="12" t="inlineStr">
        <is>
          <t>All trim pads (3 / 6 / 12.5 dB slots)</t>
        </is>
      </c>
      <c r="D45" s="12" t="inlineStr">
        <is>
          <t>K5-BW1+ SMA attenuator kit</t>
        </is>
      </c>
      <c r="E45" s="12" t="n">
        <v>1</v>
      </c>
      <c r="F45" s="13" t="inlineStr">
        <is>
          <t>BUY - IN STOCK</t>
        </is>
      </c>
      <c r="G45" s="14" t="n">
        <v>378.24</v>
      </c>
      <c r="H45" s="12" t="inlineStr">
        <is>
          <t>both</t>
        </is>
      </c>
      <c r="I45" s="12" t="inlineStr">
        <is>
          <t>[2026-10-07] Price unchanged at $378.24 and stock eased 2 -&gt; 7. Still order it early; DigiKey has 0. ORDER EARLY - only 2 kits were in stock at MCL direct on 2026-08-05. Verify the kit values cover 3, 6 and 12.5 dB before relying on it.</t>
        </is>
      </c>
    </row>
    <row r="46">
      <c r="A46" s="12" t="inlineStr">
        <is>
          <t>F</t>
        </is>
      </c>
      <c r="B46" s="12" t="n">
        <v>2</v>
      </c>
      <c r="C46" s="12" t="inlineStr">
        <is>
          <t>Interconnect throughout</t>
        </is>
      </c>
      <c r="D46" s="12" t="inlineStr">
        <is>
          <t>141-12SM+ Hand-Flex 12 in SMA</t>
        </is>
      </c>
      <c r="E46" s="12" t="n">
        <v>8</v>
      </c>
      <c r="F46" s="13" t="inlineStr">
        <is>
          <t>BUY - IN STOCK</t>
        </is>
      </c>
      <c r="G46" s="14" t="n">
        <v>17.13</v>
      </c>
      <c r="H46" s="12" t="inlineStr">
        <is>
          <t>both</t>
        </is>
      </c>
      <c r="I46" s="12" t="inlineStr">
        <is>
          <t>[2026-10-07] Price unchanged, stock &gt;1000. Eight is the rev3 allowance; the per-slot cable rows above are drawn from this quantity.</t>
        </is>
      </c>
    </row>
    <row r="47">
      <c r="A47" s="12" t="inlineStr">
        <is>
          <t>F</t>
        </is>
      </c>
      <c r="B47" s="12" t="n">
        <v>3</v>
      </c>
      <c r="C47" s="12" t="inlineStr">
        <is>
          <t>Thru reference for every insertion measurement</t>
        </is>
      </c>
      <c r="D47" s="12" t="inlineStr">
        <is>
          <t>SMA barrel / union, DC-18 GHz</t>
        </is>
      </c>
      <c r="E47" s="12" t="n">
        <v>2</v>
      </c>
      <c r="F47" s="12" t="inlineStr">
        <is>
          <t>BUY</t>
        </is>
      </c>
      <c r="G47" s="14" t="n"/>
      <c r="H47" s="12" t="inlineStr">
        <is>
          <t>both</t>
        </is>
      </c>
      <c r="I47" s="12" t="inlineStr">
        <is>
          <t>run_stage_gain.py measures a 'thru' with the amp replaced by a barrel, then the amp, and takes the difference point by point so every pad, cable and calibration error cancels exactly.</t>
        </is>
      </c>
    </row>
    <row r="48">
      <c r="A48" s="12" t="inlineStr">
        <is>
          <t>F</t>
        </is>
      </c>
      <c r="B48" s="12" t="n">
        <v>4</v>
      </c>
      <c r="C48" s="12" t="inlineStr">
        <is>
          <t>Permanent instrument-input pad</t>
        </is>
      </c>
      <c r="D48" s="12" t="inlineStr">
        <is>
          <t>10 dB pad, DC-18 GHz</t>
        </is>
      </c>
      <c r="E48" s="12" t="n">
        <v>1</v>
      </c>
      <c r="F48" s="13" t="inlineStr">
        <is>
          <t>OWNED</t>
        </is>
      </c>
      <c r="G48" s="14" t="n"/>
      <c r="H48" s="12" t="inlineStr">
        <is>
          <t>both</t>
        </is>
      </c>
      <c r="I48" s="12" t="inlineStr">
        <is>
          <t>The campaign convention: it never moves, so it is a constant of the setup rather than a per-run variable. Recorded in x8_chain/config.py and written into every saved file's metadata.</t>
        </is>
      </c>
    </row>
    <row r="49">
      <c r="A49" s="12" t="inlineStr">
        <is>
          <t>F</t>
        </is>
      </c>
      <c r="B49" s="12" t="n">
        <v>5</v>
      </c>
      <c r="C49" s="12" t="inlineStr">
        <is>
          <t>Shared 10 MHz reference</t>
        </is>
      </c>
      <c r="D49" s="12" t="inlineStr">
        <is>
          <t>BNC cable, scope REF OUT -&gt; AWG REF IN</t>
        </is>
      </c>
      <c r="E49" s="12" t="n">
        <v>1</v>
      </c>
      <c r="F49" s="15" t="inlineStr">
        <is>
          <t>MISSING - BUY</t>
        </is>
      </c>
      <c r="G49" s="14" t="n"/>
      <c r="H49" s="12" t="inlineStr">
        <is>
          <t>both</t>
        </is>
      </c>
      <c r="I49" s="12" t="inlineStr">
        <is>
          <t>BLOCKS COHERENT AVERAGING. AWG.set_reference_external(10) is already written and called. Without a shared reference the two timebases drift differently every shot, which align_and_average() cannot undo - it only corrects a constant offset, and the error worsens with chirp frequency. Unverified whether this scope's REF OUT is always on or needs enabling.</t>
        </is>
      </c>
    </row>
    <row r="50">
      <c r="A50" s="12" t="inlineStr">
        <is>
          <t>F</t>
        </is>
      </c>
      <c r="B50" s="12" t="n">
        <v>6</v>
      </c>
      <c r="C50" s="12" t="inlineStr">
        <is>
          <t>Bias for the interim eval boards</t>
        </is>
      </c>
      <c r="D50" s="12" t="inlineStr">
        <is>
          <t>+5 V bench supply + wiring</t>
        </is>
      </c>
      <c r="E50" s="12" t="n">
        <v>1</v>
      </c>
      <c r="F50" s="13" t="inlineStr">
        <is>
          <t>NOT NEEDED</t>
        </is>
      </c>
      <c r="G50" s="14" t="n"/>
      <c r="H50" s="12" t="inlineStr">
        <is>
          <t>interim only</t>
        </is>
      </c>
      <c r="I50" s="12" t="inlineStr">
        <is>
          <t>[2026-10-07 PRICE CHECK] NO LONGER NEEDED - the TB-830A+ open-PCB bridge is dropped now that the connectorised ZX60-83LN-S+ is in stock. TB-830A+ ships as an open PCB with a DC pin - 2 or 4 boards depending on route. Not needed once the connectorised ZX60-83LN-S+ pucks arrive.</t>
        </is>
      </c>
    </row>
    <row r="51">
      <c r="A51" s="12" t="inlineStr">
        <is>
          <t>F</t>
        </is>
      </c>
      <c r="B51" s="12" t="n">
        <v>7</v>
      </c>
      <c r="C51" s="12" t="inlineStr">
        <is>
          <t>Scope trigger from the AWG marker</t>
        </is>
      </c>
      <c r="D51" s="12" t="inlineStr">
        <is>
          <t>Marker cable - CONNECTOR UNRESOLVED</t>
        </is>
      </c>
      <c r="E51" s="12" t="n">
        <v>1</v>
      </c>
      <c r="F51" s="15" t="inlineStr">
        <is>
          <t>BLOCKED</t>
        </is>
      </c>
      <c r="G51" s="12" t="n"/>
      <c r="H51" s="12" t="inlineStr">
        <is>
          <t>both</t>
        </is>
      </c>
      <c r="I51" s="12" t="inlineStr">
        <is>
          <t>Tabor's documentation says SMP but the physical connector is threaded with a protruding centre pin, so it is probably SMC or 1.0/2.3. Identify it before ordering. A marker trigger fixes the trigger problem at the root (clean digital edge, no RF cycle ambiguity) and frees CH2 from the scope, unlocking a faster sample-rate tier. Granularity at 9 GS/s is 8 samples = 0.89 ns, with :MARKer:DELay:FINE giving +/-0.6 ns of trim.</t>
        </is>
      </c>
    </row>
    <row r="52">
      <c r="A52" s="16" t="n"/>
      <c r="B52" s="16" t="n"/>
      <c r="C52" s="16" t="inlineStr">
        <is>
          <t>Line-item total of every priced row above - includes the REJECTED MMD-1030LS rows and both interstage variants, so it is NOT a basket to order. The basket to order is on the 'Price check 2026-10-07' sheet.</t>
        </is>
      </c>
      <c r="D52" s="16" t="n"/>
      <c r="E52" s="16" t="n"/>
      <c r="F52" s="16" t="inlineStr">
        <is>
          <t>TOTAL USD</t>
        </is>
      </c>
      <c r="G52" s="17">
        <f>SUMPRODUCT(E2:E50,G2:G50)</f>
        <v/>
      </c>
      <c r="H52" s="16" t="n"/>
      <c r="I52" s="16" t="n"/>
    </row>
    <row r="53">
      <c r="A53" s="12" t="n"/>
      <c r="B53" s="12" t="n"/>
      <c r="C53" s="12" t="inlineStr">
        <is>
          <t>Reference subtotals from rev3, 2026-08-05 MCL list prices: permanent passives ~$990 (order now regardless of route) | interim TB-830A+ bridge $283 for 2 boards on the MMD route, $566 for 4 on the ZX90 route | ZRL-3500+ contingency $186 | 2x MMD-1030LS price TBD | full November amp order 3x ZX60-P105LN+ and 2-4x ZX60-83LN-S+.</t>
        </is>
      </c>
      <c r="D53" s="12" t="n"/>
      <c r="E53" s="12" t="n"/>
      <c r="F53" s="12" t="n"/>
      <c r="G53" s="12" t="n"/>
      <c r="H53" s="12" t="n"/>
      <c r="I53" s="12" t="n"/>
    </row>
  </sheetData>
  <mergeCells count="6">
    <mergeCell ref="A7:I7"/>
    <mergeCell ref="A2:I2"/>
    <mergeCell ref="A44:I44"/>
    <mergeCell ref="A40:I40"/>
    <mergeCell ref="A23:I23"/>
    <mergeCell ref="A35:I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2" customWidth="1" min="3" max="3"/>
    <col width="32" customWidth="1" min="4" max="4"/>
    <col width="74" customWidth="1" min="5" max="5"/>
  </cols>
  <sheetData>
    <row r="1" ht="30" customHeight="1">
      <c r="A1" s="7" t="inlineStr">
        <is>
          <t>Phase</t>
        </is>
      </c>
      <c r="B1" s="7" t="inlineStr">
        <is>
          <t>Step</t>
        </is>
      </c>
      <c r="C1" s="7" t="inlineStr">
        <is>
          <t>Action</t>
        </is>
      </c>
      <c r="D1" s="7" t="inlineStr">
        <is>
          <t>Measure with</t>
        </is>
      </c>
      <c r="E1" s="7" t="inlineStr">
        <is>
          <t>Pass criterion / gate</t>
        </is>
      </c>
    </row>
    <row r="2">
      <c r="A2" s="8" t="inlineStr">
        <is>
          <t>PHASE 0 - bench infrastructure, before any RF is connected</t>
        </is>
      </c>
      <c r="B2" s="9" t="n"/>
      <c r="C2" s="9" t="n"/>
      <c r="D2" s="9" t="n"/>
      <c r="E2" s="11" t="n"/>
    </row>
    <row r="3">
      <c r="A3" s="12" t="inlineStr">
        <is>
          <t>0</t>
        </is>
      </c>
      <c r="B3" s="12" t="inlineStr">
        <is>
          <t>0.1</t>
        </is>
      </c>
      <c r="C3" s="12" t="inlineStr">
        <is>
          <t>Bring up the three instruments and confirm comms: AWG over LAN, scope over raw socket, EXA over USB.</t>
        </is>
      </c>
      <c r="D3" s="12" t="inlineStr">
        <is>
          <t>awg.py / scope.py / specan.py</t>
        </is>
      </c>
      <c r="E3" s="12" t="inlineStr">
        <is>
          <t>*IDN? on all three. EXA connect drains stale replies and calls inst.clear() first.</t>
        </is>
      </c>
    </row>
    <row r="4">
      <c r="A4" s="12" t="inlineStr">
        <is>
          <t>0</t>
        </is>
      </c>
      <c r="B4" s="12" t="inlineStr">
        <is>
          <t>0.2</t>
        </is>
      </c>
      <c r="C4" s="12" t="inlineStr">
        <is>
          <t>Fit the permanent 10 dB pad at the EXA/scope input and record it, plus every other pad, in x8_chain/config.py.</t>
        </is>
      </c>
      <c r="D4" s="12" t="inlineStr">
        <is>
          <t>x8_chain/config.py</t>
        </is>
      </c>
      <c r="E4" s="12" t="inlineStr">
        <is>
          <t>config.py matches the physical bench exactly. Every script imports it and writes it into each saved file's metadata.</t>
        </is>
      </c>
    </row>
    <row r="5">
      <c r="A5" s="12" t="inlineStr">
        <is>
          <t>0</t>
        </is>
      </c>
      <c r="B5" s="12" t="inlineStr">
        <is>
          <t>0.3</t>
        </is>
      </c>
      <c r="C5" s="12" t="inlineStr">
        <is>
          <t>Fit the 10 MHz reference cable, scope REF OUT -&gt; AWG REF IN, and enable the external reference.</t>
        </is>
      </c>
      <c r="D5" s="12" t="inlineStr">
        <is>
          <t>AWG.set_reference_external(10)</t>
        </is>
      </c>
      <c r="E5" s="12" t="inlineStr">
        <is>
          <t>Cable is MISSING - buy it. Confirm whether the scope's REF OUT is always on or needs its own command. Not a blocker for single-shot level work; it IS a blocker for coherent averaging.</t>
        </is>
      </c>
    </row>
    <row r="6">
      <c r="A6" s="12" t="inlineStr">
        <is>
          <t>0</t>
        </is>
      </c>
      <c r="B6" s="12" t="inlineStr">
        <is>
          <t>0.4</t>
        </is>
      </c>
      <c r="C6" s="12" t="inlineStr">
        <is>
          <t>Verify the AWG's DUC operating point and CH1/CH2 output levels at the band edges.</t>
        </is>
      </c>
      <c r="D6" s="12" t="inlineStr">
        <is>
          <t>EXA, MAXH; run_awg_level_scope.py</t>
        </is>
      </c>
      <c r="E6" s="12" t="inlineStr">
        <is>
          <t>:SOUR:IQM? must read ONE. Expect about -5.5 dBm at the weak edge 2.570 GHz and -4.24 at the strong edge, i.e. 1.27 dB of tilt, at the 0.55 Vpp ceiling.</t>
        </is>
      </c>
    </row>
    <row r="7">
      <c r="A7" s="8" t="inlineStr">
        <is>
          <t>PHASE 1 - Rx LO chain, element by element (CW, no mm-wave part in the room yet)</t>
        </is>
      </c>
      <c r="B7" s="9" t="n"/>
      <c r="C7" s="9" t="n"/>
      <c r="D7" s="9" t="n"/>
      <c r="E7" s="11" t="n"/>
    </row>
    <row r="8">
      <c r="A8" s="12" t="inlineStr">
        <is>
          <t>1</t>
        </is>
      </c>
      <c r="B8" s="12" t="inlineStr">
        <is>
          <t>1.1</t>
        </is>
      </c>
      <c r="C8" s="12" t="inlineStr">
        <is>
          <t>AWG CH2 -&gt; cable -&gt; front LNA. Thru first with a barrel, then the amp.</t>
        </is>
      </c>
      <c r="D8" s="12" t="inlineStr">
        <is>
          <t>run_drive_level.py then run_stage_gain.py thru / amp</t>
        </is>
      </c>
      <c r="E8" s="15" t="inlineStr">
        <is>
          <t>GATE if using the interim: ZX60-123LN-S+ is in spec, so this one is clean. Expect ~+9.5 dBm out. Sweep a ladder of output levels, not just the operating point - warn if mean gain falls &gt;0.3 dB on the upper rungs.</t>
        </is>
      </c>
    </row>
    <row r="9">
      <c r="A9" s="12" t="inlineStr">
        <is>
          <t>1</t>
        </is>
      </c>
      <c r="B9" s="12" t="inlineStr">
        <is>
          <t>1.2</t>
        </is>
      </c>
      <c r="C9" s="12" t="inlineStr">
        <is>
          <t>Add the 3 dB pad and the VBFZ-2340-S+ bandpass.</t>
        </is>
      </c>
      <c r="D9" s="12" t="inlineStr">
        <is>
          <t>run_insert.py</t>
        </is>
      </c>
      <c r="E9" s="12" t="inlineStr">
        <is>
          <t>Insertion loss and tilt by difference against step 1.1. Budget is -2 dB including interconnect, landing +4.5 dBm.</t>
        </is>
      </c>
    </row>
    <row r="10">
      <c r="A10" s="12" t="inlineStr">
        <is>
          <t>1</t>
        </is>
      </c>
      <c r="B10" s="12" t="inlineStr">
        <is>
          <t>1.3</t>
        </is>
      </c>
      <c r="C10" s="12" t="inlineStr">
        <is>
          <t>Add the ZX90-3-812-S+ tripler, driven at +4.5 dBm.</t>
        </is>
      </c>
      <c r="D10" s="12" t="inlineStr">
        <is>
          <t>run_insert.py difference sweep at 0 and +5 dBm drive</t>
        </is>
      </c>
      <c r="E10" s="12" t="inlineStr">
        <is>
          <t>Conversion loss at our exact band (budget 15 dB typ, 22 max) and F1 / F2 / F4 rejection. F1 is spec'd at only 30 typ / 21 min dBc - this measurement sizes how hard the next filter must work.</t>
        </is>
      </c>
    </row>
    <row r="11">
      <c r="A11" s="12" t="inlineStr">
        <is>
          <t>1</t>
        </is>
      </c>
      <c r="B11" s="12" t="inlineStr">
        <is>
          <t>1.4</t>
        </is>
      </c>
      <c r="C11" s="12" t="inlineStr">
        <is>
          <t>Add the VHF-4600+ high-pass, then the VLF-8400+ low-pass, one at a time.</t>
        </is>
      </c>
      <c r="D11" s="12" t="inlineStr">
        <is>
          <t>run_insert.py</t>
        </is>
      </c>
      <c r="E11" s="12" t="inlineStr">
        <is>
          <t>F1 at 2.15-2.57 GHz suppressed by the HPF; F2 residue at 4.30-5.14 GHz suppressed by the LPF - that residue is the one that would land IN BAND at 12.9-15.4 GHz after the doubler. Level -13.0 dBm.</t>
        </is>
      </c>
    </row>
    <row r="12">
      <c r="A12" s="12" t="inlineStr">
        <is>
          <t>1</t>
        </is>
      </c>
      <c r="B12" s="12" t="inlineStr">
        <is>
          <t>1.5</t>
        </is>
      </c>
      <c r="C12" s="12" t="inlineStr">
        <is>
          <t>Add the interstage amplifier. MMD route: one stage to +6.8 dBm. ZX90 route: two stages with a 12.5 dB pad between, to +12.3 dBm.</t>
        </is>
      </c>
      <c r="D12" s="12" t="inlineStr">
        <is>
          <t>run_stage_gain.py thru / amp</t>
        </is>
      </c>
      <c r="E12" s="12" t="inlineStr">
        <is>
          <t>Backoff &gt;=5 dB from P1dB. On the ZX90 route the second stage sits at 5.7 dB - right at the rule edge, so verify rather than assume.</t>
        </is>
      </c>
    </row>
    <row r="13">
      <c r="A13" s="12" t="inlineStr">
        <is>
          <t>1</t>
        </is>
      </c>
      <c r="B13" s="12" t="inlineStr">
        <is>
          <t>1.6</t>
        </is>
      </c>
      <c r="C13" s="12" t="inlineStr">
        <is>
          <t>Add the doubler. Output is 12.91-15.42 GHz.</t>
        </is>
      </c>
      <c r="D13" s="12" t="inlineStr">
        <is>
          <t>run_insert.py CL and spur sweep at the real drive level</t>
        </is>
      </c>
      <c r="E13" s="12" t="inlineStr">
        <is>
          <t>MMD-1030LS: CL 12.5/14 at +6.8 dBm drive, F1 38 dBc, F3 46 dBc, out -5.7 dBm. ZX90-2-24-S+: CL 11.7-12.9 measured on this bench, drive +12.3 against its +11 floor, out +0.3 dBm. No AM-PM gate needed on this chain - it is CW.</t>
        </is>
      </c>
    </row>
    <row r="14">
      <c r="A14" s="12" t="inlineStr">
        <is>
          <t>1</t>
        </is>
      </c>
      <c r="B14" s="12" t="inlineStr">
        <is>
          <t>1.7</t>
        </is>
      </c>
      <c r="C14" s="12" t="inlineStr">
        <is>
          <t>Trim the final pad to land exactly -6.0 dBm, measured at the plane where the MixAMC LO port will connect.</t>
        </is>
      </c>
      <c r="D14" s="12" t="inlineStr">
        <is>
          <t>EXA</t>
        </is>
      </c>
      <c r="E14" s="15" t="inlineStr">
        <is>
          <t>HARD GATE. Window is -8 / -6 typ / -2 MAX dBm. Never exceed -2. Do this BEFORE the MixAMC is ever cabled.</t>
        </is>
      </c>
    </row>
    <row r="15">
      <c r="A15" s="12" t="inlineStr">
        <is>
          <t>1</t>
        </is>
      </c>
      <c r="B15" s="12" t="inlineStr">
        <is>
          <t>1.8</t>
        </is>
      </c>
      <c r="C15" s="12" t="inlineStr">
        <is>
          <t>Build the per-segment CH2 amplitude scalar table.</t>
        </is>
      </c>
      <c r="D15" s="12" t="inlineStr">
        <is>
          <t>x8_chain/run_segments.py</t>
        </is>
      </c>
      <c r="E15" s="12" t="inlineStr">
        <is>
          <t>One scalar per segment, not a fine correction table - within a segment the residual is pure tilt. Target: hold -6.0 dBm across the 1.3 dB band tilt and keep the MixAMC's conversion loss drive-constant from segment to segment. AWG-alone precedent: 1.28 -&gt; 0.025 dB.</t>
        </is>
      </c>
    </row>
    <row r="16">
      <c r="A16" s="8" t="inlineStr">
        <is>
          <t>PHASE 2 - Tx chain: clone Phase 1 with the second set of parts, then add the output stage</t>
        </is>
      </c>
      <c r="B16" s="9" t="n"/>
      <c r="C16" s="9" t="n"/>
      <c r="D16" s="9" t="n"/>
      <c r="E16" s="11" t="n"/>
    </row>
    <row r="17">
      <c r="A17" s="12" t="inlineStr">
        <is>
          <t>2</t>
        </is>
      </c>
      <c r="B17" s="12" t="inlineStr">
        <is>
          <t>2.1</t>
        </is>
      </c>
      <c r="C17" s="12" t="inlineStr">
        <is>
          <t>Repeat 1.1-1.4 with the Tx units and the Tx front amp.</t>
        </is>
      </c>
      <c r="D17" s="12" t="inlineStr">
        <is>
          <t>run_stage_gain.py / run_insert.py</t>
        </is>
      </c>
      <c r="E17" s="15" t="inlineStr">
        <is>
          <t>GATE if bridging with the owned ZX60-H242+: its spec ENDS at 2.4 GHz and the band tops at 2.57 - run the 10-minute EXA gain-tilt check across 2.4-2.57 GHz first. If it fails, buy the ZRL-3500+.</t>
        </is>
      </c>
    </row>
    <row r="18">
      <c r="A18" s="12" t="inlineStr">
        <is>
          <t>2</t>
        </is>
      </c>
      <c r="B18" s="12" t="inlineStr">
        <is>
          <t>2.2</t>
        </is>
      </c>
      <c r="C18" s="12" t="inlineStr">
        <is>
          <t>Repeat 1.5-1.6 with the Tx interstage amp and the Tx doubler.</t>
        </is>
      </c>
      <c r="D18" s="12" t="inlineStr">
        <is>
          <t>run_insert.py</t>
        </is>
      </c>
      <c r="E18" s="12" t="inlineStr">
        <is>
          <t>Same criteria as 1.5-1.6. Reuse the Rx chain's settings as the starting point - that is the whole reason the Rx chain is built first.</t>
        </is>
      </c>
    </row>
    <row r="19">
      <c r="A19" s="12" t="inlineStr">
        <is>
          <t>2</t>
        </is>
      </c>
      <c r="B19" s="12" t="inlineStr">
        <is>
          <t>2.3</t>
        </is>
      </c>
      <c r="C19" s="12" t="inlineStr">
        <is>
          <t>AM-to-PM ladder on the Tx doubler, A/B against the owned ZX90-2-24-S+.</t>
        </is>
      </c>
      <c r="D19" s="12" t="inlineStr">
        <is>
          <t>x8_chain/run_am_pm.py</t>
        </is>
      </c>
      <c r="E19" s="15" t="inlineStr">
        <is>
          <t>THE GATE that decides whether the MMD-1030LS may carry the CHIRP. At +6.8 dBm it sits 8 dB below its window top, and the measured rule on this bench is that a diode multiplier gets WORSE backed off: 3.2-3.5 deg/dB at the operating point, rising to r = 2.52 at -6 dB. Fallback is the owned ZX90 plus two interstage stages.</t>
        </is>
      </c>
    </row>
    <row r="20">
      <c r="A20" s="12" t="inlineStr">
        <is>
          <t>2</t>
        </is>
      </c>
      <c r="B20" s="12" t="inlineStr">
        <is>
          <t>2.4</t>
        </is>
      </c>
      <c r="C20" s="12" t="inlineStr">
        <is>
          <t>Add the 3 dB trim pad (ZX90 route), the ZX60-04183LN+ output amp and the PE83IR1023 isolator.</t>
        </is>
      </c>
      <c r="D20" s="12" t="inlineStr">
        <is>
          <t>run_insert.py</t>
        </is>
      </c>
      <c r="E20" s="12" t="inlineStr">
        <is>
          <t>Amp at ~13 dB backoff. Isolator IL 1.4 dB max.</t>
        </is>
      </c>
    </row>
    <row r="21">
      <c r="A21" s="12" t="inlineStr">
        <is>
          <t>2</t>
        </is>
      </c>
      <c r="B21" s="12" t="inlineStr">
        <is>
          <t>2.5</t>
        </is>
      </c>
      <c r="C21" s="12" t="inlineStr">
        <is>
          <t>Measure the level at the AMC input plane across the whole band.</t>
        </is>
      </c>
      <c r="D21" s="12" t="inlineStr">
        <is>
          <t>EXA, MAXH</t>
        </is>
      </c>
      <c r="E21" s="15" t="inlineStr">
        <is>
          <t>HARD GATE before the AMC is ever cabled. Must sit inside 0..+7 dBm with the target near +5. Design value is +3.8 weak edge / +5.1 strong edge. If it is short, revert to the ZX90 route or add a second amp - do not connect and hope.</t>
        </is>
      </c>
    </row>
    <row r="22">
      <c r="A22" s="12" t="inlineStr">
        <is>
          <t>2</t>
        </is>
      </c>
      <c r="B22" s="12" t="inlineStr">
        <is>
          <t>2.6</t>
        </is>
      </c>
      <c r="C22" s="12" t="inlineStr">
        <is>
          <t>Measure the tilt transfer ratio through the doubler, and the segment-to-segment spread at the AMC plane.</t>
        </is>
      </c>
      <c r="D22" s="12" t="inlineStr">
        <is>
          <t>run_insert.py, run_segments.py</t>
        </is>
      </c>
      <c r="E22" s="12" t="inlineStr">
        <is>
          <t>A square-law doubler doubles small-signal dB tilt; hard saturation drives it toward zero. The design assumes compression helps. Measure Pout vs Pin - this assumption currently rests on unmeasured parts.</t>
        </is>
      </c>
    </row>
    <row r="23">
      <c r="A23" s="12" t="inlineStr">
        <is>
          <t>2</t>
        </is>
      </c>
      <c r="B23" s="12" t="inlineStr">
        <is>
          <t>2.7</t>
        </is>
      </c>
      <c r="C23" s="12" t="inlineStr">
        <is>
          <t>Apply chirp pre-emphasis and per-segment CH1 scalars.</t>
        </is>
      </c>
      <c r="D23" s="12" t="inlineStr">
        <is>
          <t>x8_chain/run_preemph.py, run_segments.py</t>
        </is>
      </c>
      <c r="E23" s="12" t="inlineStr">
        <is>
          <t>Go straight to digital baseband scaling on the chirp envelope - :VOLT quantisation floors out at 0.0046 dB rms and cannot reach the -36 dBc paired-echo target, while 15-bit digital scaling reaches the measurement floor. Pre-emphasis is phase-safe: 2.4 dB of correction at 0.037 deg/dB is 17 deg after x144.</t>
        </is>
      </c>
    </row>
    <row r="24">
      <c r="A24" s="8" t="inlineStr">
        <is>
          <t>PHASE 3 - mm-wave front end. The order here is a safety rule, not a convenience.</t>
        </is>
      </c>
      <c r="B24" s="9" t="n"/>
      <c r="C24" s="9" t="n"/>
      <c r="D24" s="9" t="n"/>
      <c r="E24" s="11" t="n"/>
    </row>
    <row r="25">
      <c r="A25" s="12" t="inlineStr">
        <is>
          <t>3</t>
        </is>
      </c>
      <c r="B25" s="12" t="inlineStr">
        <is>
          <t>3.1</t>
        </is>
      </c>
      <c r="C25" s="12" t="inlineStr">
        <is>
          <t>Mount the AMC and one 527G horn. Mount the second horn facing it at &gt;=0.5 m. Do not install the MixAMC yet.</t>
        </is>
      </c>
      <c r="D25" s="12" t="inlineStr">
        <is>
          <t>mechanical</t>
        </is>
      </c>
      <c r="E25" s="12" t="inlineStr">
        <is>
          <t>Needs a rail / mount and alignment hardware that is NOT in the project record - see Gaps. Plain facing horns only. NO quasi-optical focusing.</t>
        </is>
      </c>
    </row>
    <row r="26">
      <c r="A26" s="12" t="inlineStr">
        <is>
          <t>3</t>
        </is>
      </c>
      <c r="B26" s="12" t="inlineStr">
        <is>
          <t>3.2</t>
        </is>
      </c>
      <c r="C26" s="12" t="inlineStr">
        <is>
          <t>With Tx running, measure the actual power arriving at the receive horn using a detector or power meter in the MixAMC's place.</t>
        </is>
      </c>
      <c r="D26" s="12" t="inlineStr">
        <is>
          <t>mm-wave detector / power meter - see Gaps</t>
        </is>
      </c>
      <c r="E26" s="15" t="inlineStr">
        <is>
          <t>STANDING RULE, HARD GATE: this happens before the mixer is ever in the beam. Expect about -27 dB of coupling, i.e. -17 dBm at Tx typ. The MixAMC RF port is linear below -10 dBm and DAMAGED at 0. If the measured coupling is tighter than about -17 dB, increase the separation or use the AMC's optional 1-25 dB attenuator before proceeding.</t>
        </is>
      </c>
    </row>
    <row r="27">
      <c r="A27" s="12" t="inlineStr">
        <is>
          <t>3</t>
        </is>
      </c>
      <c r="B27" s="12" t="inlineStr">
        <is>
          <t>3.3</t>
        </is>
      </c>
      <c r="C27" s="12" t="inlineStr">
        <is>
          <t>Only after 3.2 passes: install the MixAMC behind the receive horn.</t>
        </is>
      </c>
      <c r="D27" s="12" t="inlineStr">
        <is>
          <t>-</t>
        </is>
      </c>
      <c r="E27" s="12" t="inlineStr">
        <is>
          <t>There is no SPDT switch available anywhere in 310-370 GHz at any price - protection comes from the power budget and the geometry, and gating comes from the AWG (passive chain, so AWG off = no 340 GHz output). Switch the IF, never the RF.</t>
        </is>
      </c>
    </row>
    <row r="28">
      <c r="A28" s="8" t="inlineStr">
        <is>
          <t>PHASE 4 - IF chain</t>
        </is>
      </c>
      <c r="B28" s="9" t="n"/>
      <c r="C28" s="9" t="n"/>
      <c r="D28" s="9" t="n"/>
      <c r="E28" s="11" t="n"/>
    </row>
    <row r="29">
      <c r="A29" s="12" t="inlineStr">
        <is>
          <t>4</t>
        </is>
      </c>
      <c r="B29" s="12" t="inlineStr">
        <is>
          <t>4.1</t>
        </is>
      </c>
      <c r="C29" s="12" t="inlineStr">
        <is>
          <t>MixAMC IF (K connector) -&gt; BLK-18-S+ DC block.</t>
        </is>
      </c>
      <c r="D29" s="12" t="inlineStr">
        <is>
          <t>-</t>
        </is>
      </c>
      <c r="E29" s="12" t="inlineStr">
        <is>
          <t>Stays in until ACST confirm there is no DC on the IF port. Optional 3 dB pad here if the IF port wants a broadband match.</t>
        </is>
      </c>
    </row>
    <row r="30">
      <c r="A30" s="12" t="inlineStr">
        <is>
          <t>4</t>
        </is>
      </c>
      <c r="B30" s="12" t="inlineStr">
        <is>
          <t>4.2</t>
        </is>
      </c>
      <c r="C30" s="12" t="inlineStr">
        <is>
          <t>Add the VBFZ-780-S+ bandpass BEFORE any amplifier.</t>
        </is>
      </c>
      <c r="D30" s="12" t="inlineStr">
        <is>
          <t>EXA / scope</t>
        </is>
      </c>
      <c r="E30" s="12" t="inlineStr">
        <is>
          <t>Order matters: the chirp's video transient dies 60-80 dB before amplification. Passband 710-850 MHz against an IF band of 730-830, i.e. 20 MHz of margin each side.</t>
        </is>
      </c>
    </row>
    <row r="31">
      <c r="A31" s="12" t="inlineStr">
        <is>
          <t>4</t>
        </is>
      </c>
      <c r="B31" s="12" t="inlineStr">
        <is>
          <t>4.3</t>
        </is>
      </c>
      <c r="C31" s="12" t="inlineStr">
        <is>
          <t>Add the external IF LNA, or run ampless for first light.</t>
        </is>
      </c>
      <c r="D31" s="12" t="inlineStr">
        <is>
          <t>scope, 50 ohm</t>
        </is>
      </c>
      <c r="E31" s="12" t="inlineStr">
        <is>
          <t>Ampless costs ~1.8 dB of NF and works - the internal +20 dB carries it. With the LNA, leak at the scope is 0.60 V RMS at Tx typ against a 5 V RMS limit.</t>
        </is>
      </c>
    </row>
    <row r="32">
      <c r="A32" s="8" t="inlineStr">
        <is>
          <t>PHASE 5 - first light, with the SMB100A standing in as the Rx LO</t>
        </is>
      </c>
      <c r="B32" s="9" t="n"/>
      <c r="C32" s="9" t="n"/>
      <c r="D32" s="9" t="n"/>
      <c r="E32" s="11" t="n"/>
    </row>
    <row r="33">
      <c r="A33" s="12" t="inlineStr">
        <is>
          <t>5</t>
        </is>
      </c>
      <c r="B33" s="12" t="inlineStr">
        <is>
          <t>5.1</t>
        </is>
      </c>
      <c r="C33" s="12" t="inlineStr">
        <is>
          <t>Drive the MixAMC LO from the SMB100A at -6 dBm, locked to the shared 10 MHz. Tx CW, not chirped.</t>
        </is>
      </c>
      <c r="D33" s="12" t="inlineStr">
        <is>
          <t>scope / EXA</t>
        </is>
      </c>
      <c r="E33" s="12" t="inlineStr">
        <is>
          <t>An IF tone appears, even ampless. This buys the end-to-end check with zero new parts and does not wait on the November amps.</t>
        </is>
      </c>
    </row>
    <row r="34">
      <c r="A34" s="12" t="inlineStr">
        <is>
          <t>5</t>
        </is>
      </c>
      <c r="B34" s="12" t="inlineStr">
        <is>
          <t>5.2</t>
        </is>
      </c>
      <c r="C34" s="12" t="inlineStr">
        <is>
          <t>Map conversion loss and real horn coupling across 310-370 GHz.</t>
        </is>
      </c>
      <c r="D34" s="12" t="inlineStr">
        <is>
          <t>scope / EXA</t>
        </is>
      </c>
      <c r="E34" s="12" t="inlineStr">
        <is>
          <t>Plan around ~8 dB CL. Watch the 370 GHz edge - the 30 dB max figure is the below-270 corner, but the top edge is unmeasured on this unit.</t>
        </is>
      </c>
    </row>
    <row r="35">
      <c r="A35" s="12" t="inlineStr">
        <is>
          <t>5</t>
        </is>
      </c>
      <c r="B35" s="12" t="inlineStr">
        <is>
          <t>5.3</t>
        </is>
      </c>
      <c r="C35" s="12" t="inlineStr">
        <is>
          <t>Do NOT attempt coherent averaging on this configuration.</t>
        </is>
      </c>
      <c r="D35" s="12" t="inlineStr">
        <is>
          <t>-</t>
        </is>
      </c>
      <c r="E35" s="12" t="inlineStr">
        <is>
          <t>The synth's phase is not shot-repeatable. Also: this synth measured ~9 dB worse close-in spurs at 12.42 GHz than at 10.42/11.42, consistent with an internal divider-band boundary.</t>
        </is>
      </c>
    </row>
    <row r="36">
      <c r="A36" s="8" t="inlineStr">
        <is>
          <t>PHASE 6 - swap in the CH2 chain and close coherence</t>
        </is>
      </c>
      <c r="B36" s="9" t="n"/>
      <c r="C36" s="9" t="n"/>
      <c r="D36" s="9" t="n"/>
      <c r="E36" s="11" t="n"/>
    </row>
    <row r="37">
      <c r="A37" s="12" t="inlineStr">
        <is>
          <t>6</t>
        </is>
      </c>
      <c r="B37" s="12" t="inlineStr">
        <is>
          <t>6.1</t>
        </is>
      </c>
      <c r="C37" s="12" t="inlineStr">
        <is>
          <t>Replace the SMB100A with the Phase 1 CH2 chain at -6 dBm.</t>
        </is>
      </c>
      <c r="D37" s="12" t="inlineStr">
        <is>
          <t>EXA before connecting</t>
        </is>
      </c>
      <c r="E37" s="12" t="inlineStr">
        <is>
          <t>Re-verify the level at the LO plane after the swap. Never above -2 dBm.</t>
        </is>
      </c>
    </row>
    <row r="38">
      <c r="A38" s="12" t="inlineStr">
        <is>
          <t>6</t>
        </is>
      </c>
      <c r="B38" s="12" t="inlineStr">
        <is>
          <t>6.2</t>
        </is>
      </c>
      <c r="C38" s="12" t="inlineStr">
        <is>
          <t>Set the frequency plan: 24*f_LO,Rx exactly 730 MHz below each segment's low edge, CH2 stepping in lockstep with CH1's NCO.</t>
        </is>
      </c>
      <c r="D38" s="12" t="inlineStr">
        <is>
          <t>awg.py DUC NCO stepping</t>
        </is>
      </c>
      <c r="E38" s="12" t="inlineStr">
        <is>
          <t>f_CH2 = (f_seg,low - 0.730)/144. For 100 MHz segments CH2 sits 5.417 MHz below the CH1 segment-centre equivalent. LO always BELOW the segment, which keeps it &lt;=369.3 GHz and inside the MixAMC's good-CL window, and maps the segment to one non-inverted sideband.</t>
        </is>
      </c>
    </row>
    <row r="39">
      <c r="A39" s="12" t="inlineStr">
        <is>
          <t>6</t>
        </is>
      </c>
      <c r="B39" s="12" t="inlineStr">
        <is>
          <t>6.3</t>
        </is>
      </c>
      <c r="C39" s="12" t="inlineStr">
        <is>
          <t>Trigger the scope on the AWG marker rather than on RF, and confirm both instruments are on the shared 10 MHz.</t>
        </is>
      </c>
      <c r="D39" s="12" t="inlineStr">
        <is>
          <t>marker cable - connector unresolved</t>
        </is>
      </c>
      <c r="E39" s="12" t="inlineStr">
        <is>
          <t>Both are prerequisites for coherent averaging: x144 multiplies phase error by 43.2 dB, so deterministic ripple calibrates out but random cross-instrument drift does not. Keep align_and_average() as a robustness check even after the marker trigger works.</t>
        </is>
      </c>
    </row>
    <row r="40">
      <c r="A40" s="12" t="inlineStr">
        <is>
          <t>6</t>
        </is>
      </c>
      <c r="B40" s="12" t="inlineStr">
        <is>
          <t>6.4</t>
        </is>
      </c>
      <c r="C40" s="12" t="inlineStr">
        <is>
          <t>Open the detection window only AFTER the chirp ends, and record FID x LO.</t>
        </is>
      </c>
      <c r="D40" s="12" t="inlineStr">
        <is>
          <t>scope</t>
        </is>
      </c>
      <c r="E40" s="12" t="inlineStr">
        <is>
          <t>By construction the chirp-leak beat never enters recorded data. It matters only for mixer safety during the chirp and for how fast the IF chain and scope settle before the window opens - and that settling time now hinges on the MixAMC's INTERNAL IF amp recovery, which is still an open question to ACST.</t>
        </is>
      </c>
    </row>
    <row r="41">
      <c r="A41" s="8" t="inlineStr">
        <is>
          <t>PHASE 7 - sample region. Not designed. See the Gaps sheet.</t>
        </is>
      </c>
      <c r="B41" s="9" t="n"/>
      <c r="C41" s="9" t="n"/>
      <c r="D41" s="9" t="n"/>
      <c r="E41" s="11" t="n"/>
    </row>
    <row r="42">
      <c r="A42" s="12" t="inlineStr">
        <is>
          <t>7</t>
        </is>
      </c>
      <c r="B42" s="12" t="inlineStr">
        <is>
          <t>7.1</t>
        </is>
      </c>
      <c r="C42" s="12" t="inlineStr">
        <is>
          <t>Everything above produces and detects 310-370 GHz across a free-space path. It does not yet constitute a spectrometer: there is no sample.</t>
        </is>
      </c>
      <c r="D42" s="12" t="inlineStr">
        <is>
          <t>-</t>
        </is>
      </c>
      <c r="E42" s="12" t="inlineStr">
        <is>
          <t>A chamber, pumping, gas handling and a pulsed source (or a static absorption path) have to be designed and their geometry reconciled with the &gt;=0.5 m horn separation and the Phase 3 coupling gate. This is the one subsystem with nothing in the project record.</t>
        </is>
      </c>
    </row>
  </sheetData>
  <mergeCells count="8">
    <mergeCell ref="A24:E24"/>
    <mergeCell ref="A2:E2"/>
    <mergeCell ref="A16:E16"/>
    <mergeCell ref="A7:E7"/>
    <mergeCell ref="A28:E28"/>
    <mergeCell ref="A41:E41"/>
    <mergeCell ref="A32:E32"/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62" customWidth="1" min="3" max="3"/>
    <col width="62" customWidth="1" min="4" max="4"/>
  </cols>
  <sheetData>
    <row r="1" ht="30" customHeight="1">
      <c r="A1" s="7" t="inlineStr">
        <is>
          <t>Kind</t>
        </is>
      </c>
      <c r="B1" s="7" t="inlineStr">
        <is>
          <t>Item</t>
        </is>
      </c>
      <c r="C1" s="7" t="inlineStr">
        <is>
          <t>Why it matters</t>
        </is>
      </c>
      <c r="D1" s="7" t="inlineStr">
        <is>
          <t>Status / what to do</t>
        </is>
      </c>
    </row>
    <row r="2">
      <c r="A2" s="18" t="inlineStr">
        <is>
          <t>GAP - subsystem</t>
        </is>
      </c>
      <c r="B2" s="12" t="inlineStr">
        <is>
          <t>Sample region: vacuum chamber, pumping, gas handling, pulsed nozzle or static absorption path</t>
        </is>
      </c>
      <c r="C2" s="12" t="inlineStr">
        <is>
          <t>The entire project record covers the RF/mm-wave chain and the instruments. The only thing between the horns is ~0.5 m of free space. Without a sample there is no spectrometer.</t>
        </is>
      </c>
      <c r="D2" s="12" t="inlineStr">
        <is>
          <t>NOT DESIGNED. Needs its own pass. Its geometry has to be reconciled with the &gt;=0.5 m horn separation and the Phase 3 coupling gate - windows or a chamber in the beam path change the coupling that gate measures.</t>
        </is>
      </c>
    </row>
    <row r="3">
      <c r="A3" s="18" t="inlineStr">
        <is>
          <t>GAP - hardware</t>
        </is>
      </c>
      <c r="B3" s="12" t="inlineStr">
        <is>
          <t>mm-wave detector or power meter for 310-370 GHz</t>
        </is>
      </c>
      <c r="C3" s="12" t="inlineStr">
        <is>
          <t>Phase 3.2 is a standing safety rule: measure the power at the receive-horn position BEFORE the MixAMC is ever in the beam. The mixer is damaged at 0 dBm.</t>
        </is>
      </c>
      <c r="D3" s="12" t="inlineStr">
        <is>
          <t>No such instrument appears anywhere in the project record. Confirm whether one is on hand or borrowable; the Phase 3 gate cannot be run without it, and skipping it risks the 24.35k EUR MixAMC.</t>
        </is>
      </c>
    </row>
    <row r="4">
      <c r="A4" s="18" t="inlineStr">
        <is>
          <t>GAP - hardware</t>
        </is>
      </c>
      <c r="B4" s="12" t="inlineStr">
        <is>
          <t>Horn mounts, rail and alignment hardware; WR-2.8 flange hardware</t>
        </is>
      </c>
      <c r="C4" s="12" t="inlineStr">
        <is>
          <t>Two horns have to face each other at a known, repeatable &gt;=0.5 m separation. Coupling goes as the square of distance and alignment is unforgiving at 0.8 mm wavelength.</t>
        </is>
      </c>
      <c r="D4" s="12" t="inlineStr">
        <is>
          <t>Not in the record. Specify alongside the sample region, since they share the same optical bench.</t>
        </is>
      </c>
    </row>
    <row r="5">
      <c r="A5" s="18" t="inlineStr">
        <is>
          <t>MISSING PART</t>
        </is>
      </c>
      <c r="B5" s="12" t="inlineStr">
        <is>
          <t>BNC cable, scope REF OUT -&gt; AWG REF IN</t>
        </is>
      </c>
      <c r="C5" s="12" t="inlineStr">
        <is>
          <t>Blocks coherent averaging. Software alignment corrects only a constant per-shot offset, not two timebases drifting at independent ppm rates, and the error grows with chirp frequency.</t>
        </is>
      </c>
      <c r="D5" s="12" t="inlineStr">
        <is>
          <t>Buy. Also determine whether this scope's REF OUT is always active or needs its own command - there is no local manual for this model.</t>
        </is>
      </c>
    </row>
    <row r="6">
      <c r="A6" s="18" t="inlineStr">
        <is>
          <t>BLOCKED</t>
        </is>
      </c>
      <c r="B6" s="12" t="inlineStr">
        <is>
          <t>AWG marker-output cable</t>
        </is>
      </c>
      <c r="C6" s="12" t="inlineStr">
        <is>
          <t>A marker trigger fixes the scope trigger at the root - clean digital edge, no RF cycle ambiguity, no carrier-frequency confound - and frees CH2 from the scope, unlocking a faster sample-rate tier.</t>
        </is>
      </c>
      <c r="D6" s="12" t="inlineStr">
        <is>
          <t>Connector type UNRESOLVED: Tabor's documentation says SMP but the physical connector is threaded with a protruding centre pin, so probably SMC or 1.0/2.3. Identify before ordering.</t>
        </is>
      </c>
    </row>
    <row r="7">
      <c r="A7" s="26" t="inlineStr">
        <is>
          <t>RESOLVED 2026-10-07</t>
        </is>
      </c>
      <c r="B7" s="12" t="inlineStr">
        <is>
          <t>2x Marki MMD-1030LS - price</t>
        </is>
      </c>
      <c r="C7" s="12" t="inlineStr">
        <is>
          <t>The whole interstage lineup branches on it: adopting it means ONE amp per chain instead of two, no 12.5 dB pad, no second ZX90, and an Rx output that lands on -6 dBm with no further parts. The November ZX60-83LN-S+ order shrinks from 4 to 2 (or 0).</t>
        </is>
      </c>
      <c r="D7" s="12" t="inlineStr">
        <is>
          <t>RESOLVED - NO. $783.20 at qty 1-4, 0 in stock and 0 factory stock with no quotable lead time (Marki shop and RFMW agree). Two units would be $1,566.40 against $983.00 for the ZX90 route, whose parts are all on the shelf today. The ZX90 route is now primary.</t>
        </is>
      </c>
    </row>
    <row r="8">
      <c r="A8" s="26" t="inlineStr">
        <is>
          <t>RESOLVED 2026-10-07</t>
        </is>
      </c>
      <c r="B8" s="12" t="inlineStr">
        <is>
          <t>TB-830A+ interim boards: ships with SMA? lead time?</t>
        </is>
      </c>
      <c r="C8" s="12" t="inlineStr">
        <is>
          <t>The user's requirement is SMA connectors. Standard for the MCL TB format but not shown on the product page.</t>
        </is>
      </c>
      <c r="D8" s="12" t="inlineStr">
        <is>
          <t>MOOT - the question never has to be answered. ZX60-83LN-S+ is now MORE THAN 100 in stock at MCL direct, so buy the real connectorised part and drop the eval-board bridge entirely. Also removes the +5 V bench-supply wiring and the open-PCB handling.</t>
        </is>
      </c>
    </row>
    <row r="9">
      <c r="A9" s="19" t="inlineStr">
        <is>
          <t>NARROWED 2026-10-07</t>
        </is>
      </c>
      <c r="B9" s="12" t="inlineStr">
        <is>
          <t>November 2026 Mini-Circuits amp order</t>
        </is>
      </c>
      <c r="C9" s="12" t="inlineStr">
        <is>
          <t>3x ZX60-P105LN+ and 2-4x ZX60-83LN-S+ (plus ZX90-2-24-S+ #2 on the fallback route) were quoted at ~Nov 2026 and are the critical path. The interims retire to spares when they land.</t>
        </is>
      </c>
      <c r="D9" s="12" t="inlineStr">
        <is>
          <t>NARROWED to ONE part. ZX60-83LN-S+ and ZX90-2-24-S+ are both in stock now. Only ZX60-P105LN+ remains: DigiKey says 0 in stock, 10 expected 04-Nov-2026, 30-week factory lead. Order the 3 units now to hold a queue position and buy from MCL at $119.47 rather than DigiKey at $143.36. Bridge the ~4 weeks with the owned H242 (Tx front, after the edge check), the owned 123LN (Rx front) and an ampless IF.</t>
        </is>
      </c>
    </row>
    <row r="10">
      <c r="A10" s="19" t="inlineStr">
        <is>
          <t>OPEN - ACST</t>
        </is>
      </c>
      <c r="B10" s="12" t="inlineStr">
        <is>
          <t>Internal IF amp P1dB and overload recovery time</t>
        </is>
      </c>
      <c r="C10" s="12" t="inlineStr">
        <is>
          <t>This is now the sole remaining determinant of dead time. The external IF chain is linear at typical power throughout, so settling is set by an amplifier inside a sealed box.</t>
        </is>
      </c>
      <c r="D10" s="12" t="inlineStr">
        <is>
          <t>Ask. Unanswered as of 2026-08-05.</t>
        </is>
      </c>
    </row>
    <row r="11">
      <c r="A11" s="19" t="inlineStr">
        <is>
          <t>OPEN - ACST</t>
        </is>
      </c>
      <c r="B11" s="12" t="inlineStr">
        <is>
          <t>MixAMC LO input absolute maximum - is -2 dBm an operating max or a damage limit?</t>
        </is>
      </c>
      <c r="C11" s="12" t="inlineStr">
        <is>
          <t>Determines how much margin the Phase 1.7 trim needs.</t>
        </is>
      </c>
      <c r="D11" s="12" t="inlineStr">
        <is>
          <t>Ask. Until answered, treat -2 dBm as a damage limit and never approach it.</t>
        </is>
      </c>
    </row>
    <row r="12">
      <c r="A12" s="19" t="inlineStr">
        <is>
          <t>OPEN - ACST</t>
        </is>
      </c>
      <c r="B12" s="12" t="inlineStr">
        <is>
          <t>IF port low-frequency end, and whether any DC is present</t>
        </is>
      </c>
      <c r="C12" s="12" t="inlineStr">
        <is>
          <t>Decides whether the BLK-18-S+ DC block is permanent.</t>
        </is>
      </c>
      <c r="D12" s="12" t="inlineStr">
        <is>
          <t>Ask. The DC block stays in regardless until answered.</t>
        </is>
      </c>
    </row>
    <row r="13">
      <c r="A13" s="19" t="inlineStr">
        <is>
          <t>OPEN - ACST</t>
        </is>
      </c>
      <c r="B13" s="12" t="inlineStr">
        <is>
          <t>Out-of-band input tolerance as a written dBc number</t>
        </is>
      </c>
      <c r="C13" s="12" t="inlineStr">
        <is>
          <t>ACST said qualitatively on 2026-08-05 that out-of-band content does not matter to the AMC, and that is what dropped the FLP-1740 and the WR-62 section from the design. The interstage filters stay because they prevent IN-band products, not because of AMC protection.</t>
        </is>
      </c>
      <c r="D13" s="12" t="inlineStr">
        <is>
          <t>Get it in writing. Leave a bolt-in gap for a back-to-back SMA-WR62 adapter pair (9.49 GHz cutoff) as a 10-minute A/B test if a 310-370 GHz artifact ever appears.</t>
        </is>
      </c>
    </row>
    <row r="14">
      <c r="A14" s="19" t="inlineStr">
        <is>
          <t>OPEN - bench</t>
        </is>
      </c>
      <c r="B14" s="12" t="inlineStr">
        <is>
          <t>Does the doubler saturate? Tilt transfer ratio per stage</t>
        </is>
      </c>
      <c r="C14" s="12" t="inlineStr">
        <is>
          <t>A square-law doubler doubles small-signal dB tilt; hard saturation drives the transfer toward zero. The design needs &lt;=~1.2 per doubler to fit the AMC's 7 dB window.</t>
        </is>
      </c>
      <c r="D14" s="12" t="inlineStr">
        <is>
          <t>Measure Pout vs Pin at step 2.6. The assumption currently rests on unmeasured parts.</t>
        </is>
      </c>
    </row>
    <row r="15">
      <c r="A15" s="19" t="inlineStr">
        <is>
          <t>OPEN - bench</t>
        </is>
      </c>
      <c r="B15" s="12" t="inlineStr">
        <is>
          <t>AWG phase noise at 2.57 GHz</t>
        </is>
      </c>
      <c r="C15" s="12" t="inlineStr">
        <is>
          <t>Worth one measurement at bring-up. Note that a 10 MHz external reference buys coherence and accuracy, not offset purity - a PLL disciplines only inside its ~100 Hz-kHz loop bandwidth.</t>
        </is>
      </c>
      <c r="D15" s="12" t="inlineStr">
        <is>
          <t>One EXA measurement during Phase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2026-10-07T09:07:04Z</dcterms:created>
  <dcterms:modified xsi:type="dcterms:W3CDTF">2026-10-07T09:47:22Z</dcterms:modified>
</cp:coreProperties>
</file>