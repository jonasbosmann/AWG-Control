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list" sheetId="1" state="visible" r:id="rId1"/>
    <sheet name="Owned + ACST parts" sheetId="2" state="visible" r:id="rId2"/>
    <sheet name="Tx chain levels" sheetId="3" state="visible" r:id="rId3"/>
    <sheet name="Rx LO chain levels" sheetId="4" state="visible" r:id="rId4"/>
    <sheet name="IF levels + chirp leak" sheetId="5" state="visible" r:id="rId5"/>
    <sheet name="Frequency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5" customWidth="1" min="4" max="4"/>
    <col width="12" customWidth="1" min="5" max="5"/>
    <col width="10" customWidth="1" min="6" max="6"/>
    <col width="22" customWidth="1" min="7" max="7"/>
    <col width="14" customWidth="1" min="8" max="8"/>
    <col width="48" customWidth="1" min="9" max="9"/>
  </cols>
  <sheetData>
    <row r="1">
      <c r="A1" s="1" t="inlineStr">
        <is>
          <t>Section</t>
        </is>
      </c>
      <c r="B1" s="1" t="inlineStr">
        <is>
          <t>Model</t>
        </is>
      </c>
      <c r="C1" s="1" t="inlineStr">
        <is>
          <t>Function</t>
        </is>
      </c>
      <c r="D1" s="1" t="inlineStr">
        <is>
          <t>Qty</t>
        </is>
      </c>
      <c r="E1" s="1" t="inlineStr">
        <is>
          <t>Unit USD (MCL list)</t>
        </is>
      </c>
      <c r="F1" s="1" t="inlineStr">
        <is>
          <t>Ext USD</t>
        </is>
      </c>
      <c r="G1" s="1" t="inlineStr">
        <is>
          <t>Stock MCL direct 2026-08-05</t>
        </is>
      </c>
      <c r="H1" s="1" t="inlineStr">
        <is>
          <t>Mouser/EU stock</t>
        </is>
      </c>
      <c r="I1" s="1" t="inlineStr">
        <is>
          <t>Notes</t>
        </is>
      </c>
    </row>
    <row r="2">
      <c r="A2" t="inlineStr">
        <is>
          <t>Tx chain</t>
        </is>
      </c>
      <c r="B2" t="inlineStr">
        <is>
          <t>ZX60-P105LN+</t>
        </is>
      </c>
      <c r="C2" s="2" t="inlineStr">
        <is>
          <t>Front LNA (NF ~0.9), directly after AWG CH1 - no input pad</t>
        </is>
      </c>
      <c r="D2" t="n">
        <v>1</v>
      </c>
      <c r="E2" s="3" t="n">
        <v>119.47</v>
      </c>
      <c r="F2" s="3">
        <f>D2*E2</f>
        <v/>
      </c>
      <c r="G2" s="4" t="inlineStr">
        <is>
          <t>OUT OF STOCK - contact sales</t>
        </is>
      </c>
      <c r="H2" t="inlineStr">
        <is>
          <t>check</t>
        </is>
      </c>
      <c r="I2" s="2" t="inlineStr">
        <is>
          <t>P1dB +18.9; spec edge 2.6 GHz, watch gain tilt at 2.57</t>
        </is>
      </c>
    </row>
    <row r="3">
      <c r="A3" t="inlineStr">
        <is>
          <t>Tx chain</t>
        </is>
      </c>
      <c r="B3" t="inlineStr">
        <is>
          <t>VBFZ-2340-S+</t>
        </is>
      </c>
      <c r="C3" s="2" t="inlineStr">
        <is>
          <t>BPF 2020-2660 MHz before tripler (kills LNA harmonics / AWG images)</t>
        </is>
      </c>
      <c r="D3" t="n">
        <v>1</v>
      </c>
      <c r="E3" s="3" t="n">
        <v>54.13</v>
      </c>
      <c r="F3" s="3">
        <f>D3*E3</f>
        <v/>
      </c>
      <c r="G3" t="inlineStr">
        <is>
          <t>&gt;100</t>
        </is>
      </c>
      <c r="H3" t="inlineStr">
        <is>
          <t>check</t>
        </is>
      </c>
      <c r="I3" s="2" t="inlineStr"/>
    </row>
    <row r="4">
      <c r="A4" t="inlineStr">
        <is>
          <t>Tx chain</t>
        </is>
      </c>
      <c r="B4" t="inlineStr">
        <is>
          <t>ZX90-3-812-S+</t>
        </is>
      </c>
      <c r="C4" s="2" t="inlineStr">
        <is>
          <t>Tripler x3, in 2.0-2.7 -&gt; out 6.0-8.1 GHz, drive 0..+5 dBm</t>
        </is>
      </c>
      <c r="D4" t="n">
        <v>1</v>
      </c>
      <c r="E4" s="3" t="n">
        <v>73.91</v>
      </c>
      <c r="F4" s="3">
        <f>D4*E4</f>
        <v/>
      </c>
      <c r="G4" t="inlineStr">
        <is>
          <t>&gt;100</t>
        </is>
      </c>
      <c r="H4" t="inlineStr">
        <is>
          <t>check</t>
        </is>
      </c>
      <c r="I4" s="2" t="inlineStr">
        <is>
          <t>Drive at TOP of window (+4.5); CL 15 typ / 22 max</t>
        </is>
      </c>
    </row>
    <row r="5">
      <c r="A5" t="inlineStr">
        <is>
          <t>Tx chain</t>
        </is>
      </c>
      <c r="B5" t="inlineStr">
        <is>
          <t>VHF-4600+</t>
        </is>
      </c>
      <c r="C5" s="2" t="inlineStr">
        <is>
          <t>HPF after tripler - kills F1 leak-through (tripler F1 only 21 dBc min)</t>
        </is>
      </c>
      <c r="D5" t="n">
        <v>1</v>
      </c>
      <c r="E5" s="3" t="n">
        <v>33.81</v>
      </c>
      <c r="F5" s="3">
        <f>D5*E5</f>
        <v/>
      </c>
      <c r="G5" t="inlineStr">
        <is>
          <t>230</t>
        </is>
      </c>
      <c r="H5" t="inlineStr">
        <is>
          <t>check</t>
        </is>
      </c>
      <c r="I5" s="2" t="inlineStr">
        <is>
          <t>Load-bearing filter</t>
        </is>
      </c>
    </row>
    <row r="6">
      <c r="A6" t="inlineStr">
        <is>
          <t>Tx chain</t>
        </is>
      </c>
      <c r="B6" t="inlineStr">
        <is>
          <t>VLF-8400+</t>
        </is>
      </c>
      <c r="C6" s="2" t="inlineStr">
        <is>
          <t>LPF after tripler - kills F4+; F2 residue would x3 into band in doubler</t>
        </is>
      </c>
      <c r="D6" t="n">
        <v>1</v>
      </c>
      <c r="E6" s="3" t="n">
        <v>33.81</v>
      </c>
      <c r="F6" s="3">
        <f>D6*E6</f>
        <v/>
      </c>
      <c r="G6" t="inlineStr">
        <is>
          <t>558</t>
        </is>
      </c>
      <c r="H6" t="inlineStr">
        <is>
          <t>check</t>
        </is>
      </c>
      <c r="I6" s="2" t="inlineStr"/>
    </row>
    <row r="7">
      <c r="A7" t="inlineStr">
        <is>
          <t>Tx chain</t>
        </is>
      </c>
      <c r="B7" t="inlineStr">
        <is>
          <t>ZX60-83LN-S+</t>
        </is>
      </c>
      <c r="C7" s="2" t="inlineStr">
        <is>
          <t>2x interstage amp 6.5-7.7 GHz (G ~19, P1dB ~+18)</t>
        </is>
      </c>
      <c r="D7" t="n">
        <v>2</v>
      </c>
      <c r="E7" s="3" t="n">
        <v>219.09</v>
      </c>
      <c r="F7" s="3">
        <f>D7*E7</f>
        <v/>
      </c>
      <c r="G7" s="4" t="inlineStr">
        <is>
          <t>OUT OF STOCK - contact sales</t>
        </is>
      </c>
      <c r="H7" t="inlineStr">
        <is>
          <t>check</t>
        </is>
      </c>
      <c r="I7" s="2" t="inlineStr">
        <is>
          <t>Biggest cost line</t>
        </is>
      </c>
    </row>
    <row r="8">
      <c r="A8" t="inlineStr">
        <is>
          <t>Rx LO</t>
        </is>
      </c>
      <c r="B8" t="inlineStr">
        <is>
          <t>ZX60-P105LN+</t>
        </is>
      </c>
      <c r="C8" s="2" t="inlineStr">
        <is>
          <t>Front LNA after AWG CH2 (identical front end)</t>
        </is>
      </c>
      <c r="D8" t="n">
        <v>1</v>
      </c>
      <c r="E8" s="3" t="n">
        <v>119.47</v>
      </c>
      <c r="F8" s="3">
        <f>D8*E8</f>
        <v/>
      </c>
      <c r="G8" s="4" t="inlineStr">
        <is>
          <t>OUT OF STOCK - contact sales</t>
        </is>
      </c>
      <c r="H8" t="inlineStr">
        <is>
          <t>check</t>
        </is>
      </c>
      <c r="I8" s="2" t="inlineStr"/>
    </row>
    <row r="9">
      <c r="A9" t="inlineStr">
        <is>
          <t>Rx LO</t>
        </is>
      </c>
      <c r="B9" t="inlineStr">
        <is>
          <t>VBFZ-2340-S+</t>
        </is>
      </c>
      <c r="C9" s="2" t="inlineStr">
        <is>
          <t>BPF before tripler</t>
        </is>
      </c>
      <c r="D9" t="n">
        <v>1</v>
      </c>
      <c r="E9" s="3" t="n">
        <v>54.13</v>
      </c>
      <c r="F9" s="3">
        <f>D9*E9</f>
        <v/>
      </c>
      <c r="G9" t="inlineStr">
        <is>
          <t>&gt;100</t>
        </is>
      </c>
      <c r="H9" t="inlineStr">
        <is>
          <t>check</t>
        </is>
      </c>
      <c r="I9" s="2" t="inlineStr"/>
    </row>
    <row r="10">
      <c r="A10" t="inlineStr">
        <is>
          <t>Rx LO</t>
        </is>
      </c>
      <c r="B10" t="inlineStr">
        <is>
          <t>ZX90-3-812-S+</t>
        </is>
      </c>
      <c r="C10" s="2" t="inlineStr">
        <is>
          <t>Tripler x3</t>
        </is>
      </c>
      <c r="D10" t="n">
        <v>1</v>
      </c>
      <c r="E10" s="3" t="n">
        <v>73.91</v>
      </c>
      <c r="F10" s="3">
        <f>D10*E10</f>
        <v/>
      </c>
      <c r="G10" t="inlineStr">
        <is>
          <t>&gt;100</t>
        </is>
      </c>
      <c r="H10" t="inlineStr">
        <is>
          <t>check</t>
        </is>
      </c>
      <c r="I10" s="2" t="inlineStr"/>
    </row>
    <row r="11">
      <c r="A11" t="inlineStr">
        <is>
          <t>Rx LO</t>
        </is>
      </c>
      <c r="B11" t="inlineStr">
        <is>
          <t>VHF-4600+</t>
        </is>
      </c>
      <c r="C11" s="2" t="inlineStr">
        <is>
          <t>HPF after tripler</t>
        </is>
      </c>
      <c r="D11" t="n">
        <v>1</v>
      </c>
      <c r="E11" s="3" t="n">
        <v>33.81</v>
      </c>
      <c r="F11" s="3">
        <f>D11*E11</f>
        <v/>
      </c>
      <c r="G11" t="inlineStr">
        <is>
          <t>230</t>
        </is>
      </c>
      <c r="H11" t="inlineStr">
        <is>
          <t>check</t>
        </is>
      </c>
      <c r="I11" s="2" t="inlineStr"/>
    </row>
    <row r="12">
      <c r="A12" t="inlineStr">
        <is>
          <t>Rx LO</t>
        </is>
      </c>
      <c r="B12" t="inlineStr">
        <is>
          <t>VLF-8400+</t>
        </is>
      </c>
      <c r="C12" s="2" t="inlineStr">
        <is>
          <t>LPF after tripler</t>
        </is>
      </c>
      <c r="D12" t="n">
        <v>1</v>
      </c>
      <c r="E12" s="3" t="n">
        <v>33.81</v>
      </c>
      <c r="F12" s="3">
        <f>D12*E12</f>
        <v/>
      </c>
      <c r="G12" t="inlineStr">
        <is>
          <t>558</t>
        </is>
      </c>
      <c r="H12" t="inlineStr">
        <is>
          <t>check</t>
        </is>
      </c>
      <c r="I12" s="2" t="inlineStr"/>
    </row>
    <row r="13">
      <c r="A13" t="inlineStr">
        <is>
          <t>Rx LO</t>
        </is>
      </c>
      <c r="B13" t="inlineStr">
        <is>
          <t>ZX60-83LN-S+</t>
        </is>
      </c>
      <c r="C13" s="2" t="inlineStr">
        <is>
          <t>2x interstage amp</t>
        </is>
      </c>
      <c r="D13" t="n">
        <v>2</v>
      </c>
      <c r="E13" s="3" t="n">
        <v>219.09</v>
      </c>
      <c r="F13" s="3">
        <f>D13*E13</f>
        <v/>
      </c>
      <c r="G13" s="4" t="inlineStr">
        <is>
          <t>OUT OF STOCK - contact sales</t>
        </is>
      </c>
      <c r="H13" t="inlineStr">
        <is>
          <t>check</t>
        </is>
      </c>
      <c r="I13" s="2" t="inlineStr"/>
    </row>
    <row r="14">
      <c r="A14" t="inlineStr">
        <is>
          <t>Rx LO</t>
        </is>
      </c>
      <c r="B14" t="inlineStr">
        <is>
          <t>ZX90-2-24-S+</t>
        </is>
      </c>
      <c r="C14" s="2" t="inlineStr">
        <is>
          <t>Doubler x2 (SECOND unit; first is owned and lives in Tx chain)</t>
        </is>
      </c>
      <c r="D14" t="n">
        <v>1</v>
      </c>
      <c r="E14" s="3" t="n">
        <v>106.64</v>
      </c>
      <c r="F14" s="3">
        <f>D14*E14</f>
        <v/>
      </c>
      <c r="G14" s="4" t="inlineStr">
        <is>
          <t>OUT OF STOCK - contact sales</t>
        </is>
      </c>
      <c r="H14" t="inlineStr">
        <is>
          <t>check</t>
        </is>
      </c>
      <c r="I14" s="2" t="inlineStr">
        <is>
          <t>No output amp needed: MixAMC LO wants only -6 dBm</t>
        </is>
      </c>
    </row>
    <row r="15">
      <c r="A15" t="inlineStr">
        <is>
          <t>IF chain</t>
        </is>
      </c>
      <c r="B15" t="inlineStr">
        <is>
          <t>BLK-18-S+</t>
        </is>
      </c>
      <c r="C15" s="2" t="inlineStr">
        <is>
          <t>DC block at MixAMC IF port (until ACST confirms no DC)</t>
        </is>
      </c>
      <c r="D15" t="n">
        <v>1</v>
      </c>
      <c r="E15" s="3" t="n">
        <v>29.73</v>
      </c>
      <c r="F15" s="3">
        <f>D15*E15</f>
        <v/>
      </c>
      <c r="G15" t="inlineStr">
        <is>
          <t>&gt;1000</t>
        </is>
      </c>
      <c r="H15" t="inlineStr">
        <is>
          <t>check</t>
        </is>
      </c>
      <c r="I15" s="2" t="inlineStr"/>
    </row>
    <row r="16">
      <c r="A16" t="inlineStr">
        <is>
          <t>IF chain</t>
        </is>
      </c>
      <c r="B16" t="inlineStr">
        <is>
          <t>VBFZ-780-S+</t>
        </is>
      </c>
      <c r="C16" s="2" t="inlineStr">
        <is>
          <t>IF BPF 710-850 MHz, BEFORE the LNA (kills video transient 60-80 dB)</t>
        </is>
      </c>
      <c r="D16" t="n">
        <v>1</v>
      </c>
      <c r="E16" s="3" t="n">
        <v>54.13</v>
      </c>
      <c r="F16" s="3">
        <f>D16*E16</f>
        <v/>
      </c>
      <c r="G16" t="inlineStr">
        <is>
          <t>55</t>
        </is>
      </c>
      <c r="H16" t="inlineStr">
        <is>
          <t>check</t>
        </is>
      </c>
      <c r="I16" s="2" t="inlineStr">
        <is>
          <t>&gt;=30 dB below 440 MHz and 1.32-16 GHz</t>
        </is>
      </c>
    </row>
    <row r="17">
      <c r="A17" t="inlineStr">
        <is>
          <t>IF chain</t>
        </is>
      </c>
      <c r="B17" t="inlineStr">
        <is>
          <t>ZX60-P105LN+</t>
        </is>
      </c>
      <c r="C17" s="2" t="inlineStr">
        <is>
          <t>Single external IF LNA (internal +20 dB does the rest)</t>
        </is>
      </c>
      <c r="D17" t="n">
        <v>1</v>
      </c>
      <c r="E17" s="3" t="n">
        <v>119.47</v>
      </c>
      <c r="F17" s="3">
        <f>D17*E17</f>
        <v/>
      </c>
      <c r="G17" s="4" t="inlineStr">
        <is>
          <t>OUT OF STOCK - contact sales</t>
        </is>
      </c>
      <c r="H17" t="inlineStr">
        <is>
          <t>check</t>
        </is>
      </c>
      <c r="I17" s="2" t="inlineStr">
        <is>
          <t>Ampless works for first light</t>
        </is>
      </c>
    </row>
    <row r="18">
      <c r="A18" t="inlineStr">
        <is>
          <t>Shared</t>
        </is>
      </c>
      <c r="B18" t="inlineStr">
        <is>
          <t>K5-BW1+</t>
        </is>
      </c>
      <c r="C18" s="2" t="inlineStr">
        <is>
          <t>SMA fixed-attenuator kit (all trim pads: 3 / 6 / 12.5 dB slots)</t>
        </is>
      </c>
      <c r="D18" t="n">
        <v>1</v>
      </c>
      <c r="E18" s="3" t="n">
        <v>378.24</v>
      </c>
      <c r="F18" s="3">
        <f>D18*E18</f>
        <v/>
      </c>
      <c r="G18" s="4" t="inlineStr">
        <is>
          <t>2 (!)</t>
        </is>
      </c>
      <c r="H18" t="inlineStr">
        <is>
          <t>check</t>
        </is>
      </c>
      <c r="I18" s="2" t="inlineStr">
        <is>
          <t>Only 2 kits in stock - order early; verify kit values cover needs</t>
        </is>
      </c>
    </row>
    <row r="19">
      <c r="A19" t="inlineStr">
        <is>
          <t>Shared</t>
        </is>
      </c>
      <c r="B19" t="inlineStr">
        <is>
          <t>141-12SM+</t>
        </is>
      </c>
      <c r="C19" s="2" t="inlineStr">
        <is>
          <t>Hand-Flex 12 in. SMA cables</t>
        </is>
      </c>
      <c r="D19" t="n">
        <v>8</v>
      </c>
      <c r="E19" s="3" t="n">
        <v>17.13</v>
      </c>
      <c r="F19" s="3">
        <f>D19*E19</f>
        <v/>
      </c>
      <c r="G19" t="inlineStr">
        <is>
          <t>&gt;1000</t>
        </is>
      </c>
      <c r="H19" t="inlineStr">
        <is>
          <t>check</t>
        </is>
      </c>
      <c r="I19" s="2" t="inlineStr"/>
    </row>
    <row r="20">
      <c r="E20" s="5" t="inlineStr">
        <is>
          <t>TOTAL</t>
        </is>
      </c>
      <c r="F20" s="6">
        <f>SUM(F2:F19)</f>
        <v/>
      </c>
    </row>
    <row r="22">
      <c r="A22" s="7" t="inlineStr">
        <is>
          <t>Prices = minicircuits.com US list (reference only), fetched 2026-08-05; VAT/shipping/EUR conversion not included. Usual ordering route is Mouser DE / EU distributors - their stock is INDEPENDENT of MCL direct, so the stock-0 flags (ZX60-P105LN+, ZX60-83LN-S+, ZX90-2-24-S+) may not apply there: fill the Mouser/EU stock column manually before concluding anything about lead time. K5-BW1+ had only 2 kits at MCL direct.</t>
        </is>
      </c>
    </row>
  </sheetData>
  <mergeCells count="1"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46" customWidth="1" min="4" max="4"/>
  </cols>
  <sheetData>
    <row r="1">
      <c r="A1" s="1" t="inlineStr">
        <is>
          <t>Where used</t>
        </is>
      </c>
      <c r="B1" s="1" t="inlineStr">
        <is>
          <t>Part</t>
        </is>
      </c>
      <c r="C1" s="1" t="inlineStr">
        <is>
          <t>Role</t>
        </is>
      </c>
      <c r="D1" s="1" t="inlineStr">
        <is>
          <t>Status / note</t>
        </is>
      </c>
    </row>
    <row r="2">
      <c r="A2" s="2" t="inlineStr">
        <is>
          <t>Tx chain</t>
        </is>
      </c>
      <c r="B2" s="2" t="inlineStr">
        <is>
          <t>ZX90-2-24-S+ (#1)</t>
        </is>
      </c>
      <c r="C2" s="2" t="inlineStr">
        <is>
          <t>Final doubler x2, 12.91-15.42 GHz out</t>
        </is>
      </c>
      <c r="D2" s="2" t="inlineStr">
        <is>
          <t>Owned. CL measured 11.7-12.9 dB on this bench; F1 dip 21.9 dBc at 7.0 GHz is out-of-band (ACST: doesn't matter)</t>
        </is>
      </c>
    </row>
    <row r="3">
      <c r="A3" s="2" t="inlineStr">
        <is>
          <t>Tx chain</t>
        </is>
      </c>
      <c r="B3" s="2" t="inlineStr">
        <is>
          <t>ZX60-04183LN+</t>
        </is>
      </c>
      <c r="C3" s="2" t="inlineStr">
        <is>
          <t>Output amp (G ~9-11 at 14 GHz)</t>
        </is>
      </c>
      <c r="D3" s="2" t="inlineStr">
        <is>
          <t>Owned</t>
        </is>
      </c>
    </row>
    <row r="4">
      <c r="A4" s="2" t="inlineStr">
        <is>
          <t>Tx chain</t>
        </is>
      </c>
      <c r="B4" s="2" t="inlineStr">
        <is>
          <t>PE83IR1023</t>
        </is>
      </c>
      <c r="C4" s="2" t="inlineStr">
        <is>
          <t>Isolator 8-18 GHz before AMC</t>
        </is>
      </c>
      <c r="D4" s="2" t="inlineStr">
        <is>
          <t>Owned</t>
        </is>
      </c>
    </row>
    <row r="5">
      <c r="A5" s="2" t="inlineStr">
        <is>
          <t>Spare</t>
        </is>
      </c>
      <c r="B5" s="2" t="inlineStr">
        <is>
          <t>MMD-0415HS</t>
        </is>
      </c>
      <c r="C5" s="2" t="inlineStr">
        <is>
          <t>Doubler, swap-test only</t>
        </is>
      </c>
      <c r="D5" s="2" t="inlineStr">
        <is>
          <t>Owned. Off-spec at both band tops (7.71 vs 7.5 in / 15.42 vs 15 out) - do not design around</t>
        </is>
      </c>
    </row>
    <row r="6">
      <c r="A6" s="2" t="inlineStr">
        <is>
          <t>Bring-up</t>
        </is>
      </c>
      <c r="B6" s="2" t="inlineStr">
        <is>
          <t>R&amp;S SMB100A</t>
        </is>
      </c>
      <c r="C6" s="2" t="inlineStr">
        <is>
          <t>Interim Rx LO at -6 dBm, locked to shared 10 MHz</t>
        </is>
      </c>
      <c r="D6" s="2" t="inlineStr">
        <is>
          <t>Owned. Fine for CW bring-up; NOT for coherent averaging</t>
        </is>
      </c>
    </row>
    <row r="7">
      <c r="A7" s="2" t="inlineStr">
        <is>
          <t>Tx core</t>
        </is>
      </c>
      <c r="B7" s="2" t="inlineStr">
        <is>
          <t>ACST 1211B-24AL AMC</t>
        </is>
      </c>
      <c r="C7" s="2" t="inlineStr">
        <is>
          <t>x24 to 310-370 GHz; input 0..+7 dBm (typ +5); out +10 dBm typ</t>
        </is>
      </c>
      <c r="D7" s="2" t="inlineStr">
        <is>
          <t>ACST quote A-241209-2</t>
        </is>
      </c>
    </row>
    <row r="8">
      <c r="A8" s="2" t="inlineStr">
        <is>
          <t>Rx core</t>
        </is>
      </c>
      <c r="B8" s="2" t="inlineStr">
        <is>
          <t>ACST MixAMC WR2.8</t>
        </is>
      </c>
      <c r="C8" s="2" t="inlineStr">
        <is>
          <t>x24, 250-400 GHz; LO -8/-6/-2 dBm; internal IF gain +20 dB; CL 6/8/30 dB; usable CL window ~270-370 GHz; spec IF &lt;=1 GHz</t>
        </is>
      </c>
      <c r="D8" s="2" t="inlineStr">
        <is>
          <t>ACST quote A-241209-2. Open: internal IF amp P1dB/recovery; LO abs-max; DC on IF port</t>
        </is>
      </c>
    </row>
    <row r="9">
      <c r="A9" s="2" t="inlineStr">
        <is>
          <t>Both</t>
        </is>
      </c>
      <c r="B9" s="2" t="inlineStr">
        <is>
          <t>2x ACST 527G horn</t>
        </is>
      </c>
      <c r="C9" s="2" t="inlineStr">
        <is>
          <t>WR-2.8 horn antennas (~25 dBi class)</t>
        </is>
      </c>
      <c r="D9" s="2" t="inlineStr">
        <is>
          <t>ACST quote A-241209-2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CH1, 0.55 Vpp ceiling</t>
        </is>
      </c>
      <c r="C2" t="inlineStr">
        <is>
          <t>-</t>
        </is>
      </c>
      <c r="D2" t="n">
        <v>-5.5</v>
      </c>
      <c r="E2" s="2" t="inlineStr">
        <is>
          <t>Measured (pinned EXA run cw_level_check_2026-07-27), WEAK edge 2.570 GHz; strong edge -4.24 (spread 1.27 dB, absorbed by per-segment scalars / pre-emphasis)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3 dB (trim)</t>
        </is>
      </c>
      <c r="C14" t="n">
        <v>-3</v>
      </c>
      <c r="D14" t="n">
        <v>-2.7</v>
      </c>
      <c r="E14" s="2" t="inlineStr">
        <is>
          <t>Set on bench to land the AMC at ~+5</t>
        </is>
      </c>
    </row>
    <row r="15">
      <c r="A15" t="n">
        <v>14</v>
      </c>
      <c r="B15" t="inlineStr">
        <is>
          <t>ZX60-04183LN+ (owned)</t>
        </is>
      </c>
      <c r="C15" t="n">
        <v>9</v>
      </c>
      <c r="D15" t="n">
        <v>6.3</v>
      </c>
      <c r="E15" s="2" t="inlineStr">
        <is>
          <t>G ~9-11 at 14 GHz; ~9 dB backoff</t>
        </is>
      </c>
    </row>
    <row r="16">
      <c r="A16" t="n">
        <v>15</v>
      </c>
      <c r="B16" t="inlineStr">
        <is>
          <t>PE83IR1023 isolator (owned)</t>
        </is>
      </c>
      <c r="C16" t="n">
        <v>-0.9</v>
      </c>
      <c r="D16" t="n">
        <v>5.4</v>
      </c>
      <c r="E16" s="2" t="inlineStr">
        <is>
          <t>Protects doubler/amp from AMC input reflections</t>
        </is>
      </c>
    </row>
    <row r="17">
      <c r="A17" t="n">
        <v>16</v>
      </c>
      <c r="B17" t="inlineStr">
        <is>
          <t>Cable to AMC</t>
        </is>
      </c>
      <c r="C17" t="n">
        <v>-0.6</v>
      </c>
      <c r="D17" t="n">
        <v>4.8</v>
      </c>
      <c r="E17" s="2" t="inlineStr">
        <is>
          <t>AMC window 0..+7 dBm, typ +5: lands mid-window; no output filter (ACST: out-of-band content doesn't matter)</t>
        </is>
      </c>
    </row>
    <row r="19">
      <c r="B19" s="2" t="inlineStr">
        <is>
          <t>Design values (datasheet gains + measured AWG scan + measured doubler CL). Verify each stage with run_insert difference sweeps at build time.</t>
        </is>
      </c>
    </row>
  </sheetData>
  <mergeCells count="1"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CH2 CW, 0.55 Vpp ceiling</t>
        </is>
      </c>
      <c r="C2" t="inlineStr">
        <is>
          <t>-</t>
        </is>
      </c>
      <c r="D2" t="n">
        <v>-5.5</v>
      </c>
      <c r="E2" s="2" t="inlineStr">
        <is>
          <t>Same measured band as CH1. Per-segment CH2 amplitude scalars are LOAD-BEARING: hold -6.0 dBm across the 1.3 dB tilt AND keep MixAMC CL drive-constant across segments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6 dB</t>
        </is>
      </c>
      <c r="C14" t="n">
        <v>-6</v>
      </c>
      <c r="D14" t="n">
        <v>-5.7</v>
      </c>
      <c r="E14" s="2" t="inlineStr">
        <is>
          <t>MixAMC LO window -8 / -6 typ / -2 MAX dBm -&gt; lands at typ. NEVER exceed -2: verify on EXA before first connect</t>
        </is>
      </c>
    </row>
    <row r="16">
      <c r="B16" s="2" t="inlineStr">
        <is>
          <t>Identical to Tx chain through the doubler (second units of every part), then just a pad - NO output amp, NO isolator (6 dB pad gives 12 dB return isolation for a CW LO). CW at every stage -&gt; build and characterize this chain FIRST, clone settings to Tx.</t>
        </is>
      </c>
    </row>
  </sheetData>
  <mergeCells count="1">
    <mergeCell ref="B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5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FID path (dBm)</t>
        </is>
      </c>
      <c r="E1" s="1" t="inlineStr">
        <is>
          <t>Leak, Tx typ (dBm)</t>
        </is>
      </c>
      <c r="F1" s="1" t="inlineStr">
        <is>
          <t>Leak, Tx max (dBm)</t>
        </is>
      </c>
      <c r="G1" s="1" t="inlineStr">
        <is>
          <t>Note</t>
        </is>
      </c>
    </row>
    <row r="2">
      <c r="A2" t="n">
        <v>1</v>
      </c>
      <c r="B2" s="2" t="inlineStr">
        <is>
          <t>Tx AMC output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+10</t>
        </is>
      </c>
      <c r="F2" s="2" t="inlineStr">
        <is>
          <t>+17</t>
        </is>
      </c>
      <c r="G2" s="2" t="inlineStr">
        <is>
          <t>310-370 GHz; +8 min / +10 typ / +17 max</t>
        </is>
      </c>
    </row>
    <row r="3">
      <c r="A3" t="n">
        <v>2</v>
      </c>
      <c r="B3" s="2" t="inlineStr">
        <is>
          <t>Horn-horn coupling, &gt;=0.5 m</t>
        </is>
      </c>
      <c r="C3" s="2" t="n">
        <v>-27</v>
      </c>
      <c r="D3" s="2" t="inlineStr">
        <is>
          <t>S (FID at Rx horn)</t>
        </is>
      </c>
      <c r="E3" s="2" t="inlineStr">
        <is>
          <t>-17</t>
        </is>
      </c>
      <c r="F3" s="2" t="inlineStr">
        <is>
          <t>-10</t>
        </is>
      </c>
      <c r="G3" s="2" t="inlineStr">
        <is>
          <t>Friis, ~25 dBi facing horns. MEASURE with detector before mixer is ever in beam. Mixer: linear &lt;-10, DAMAGE 0 dBm -&gt; typ leak is inside the LINEAR range</t>
        </is>
      </c>
    </row>
    <row r="4">
      <c r="A4" t="n">
        <v>3</v>
      </c>
      <c r="B4" s="2" t="inlineStr">
        <is>
          <t>MixAMC net (CL -8 + IF amp +20)</t>
        </is>
      </c>
      <c r="C4" s="2" t="n">
        <v>12</v>
      </c>
      <c r="D4" s="2" t="inlineStr">
        <is>
          <t>S+12</t>
        </is>
      </c>
      <c r="E4" s="2" t="inlineStr">
        <is>
          <t>-5</t>
        </is>
      </c>
      <c r="F4" s="2" t="inlineStr">
        <is>
          <t>+2</t>
        </is>
      </c>
      <c r="G4" s="2" t="inlineStr">
        <is>
          <t>Internal IF amp P1dB unknown - the remaining dead-time question for ACST</t>
        </is>
      </c>
    </row>
    <row r="5">
      <c r="A5" t="n">
        <v>4</v>
      </c>
      <c r="B5" s="2" t="inlineStr">
        <is>
          <t>BLK-18-S+ DC block</t>
        </is>
      </c>
      <c r="C5" s="2" t="n">
        <v>-0.2</v>
      </c>
      <c r="D5" s="2" t="inlineStr">
        <is>
          <t>S+11.8</t>
        </is>
      </c>
      <c r="E5" s="2" t="inlineStr">
        <is>
          <t>-5.2</t>
        </is>
      </c>
      <c r="F5" s="2" t="inlineStr">
        <is>
          <t>+1.8</t>
        </is>
      </c>
      <c r="G5" s="2" t="inlineStr"/>
    </row>
    <row r="6">
      <c r="A6" t="n">
        <v>5</v>
      </c>
      <c r="B6" s="2" t="inlineStr">
        <is>
          <t>VBFZ-780-S+ IF BPF</t>
        </is>
      </c>
      <c r="C6" s="2" t="n">
        <v>-1.8</v>
      </c>
      <c r="D6" s="2" t="inlineStr">
        <is>
          <t>S+10</t>
        </is>
      </c>
      <c r="E6" s="2" t="inlineStr">
        <is>
          <t>-7</t>
        </is>
      </c>
      <c r="F6" s="2" t="inlineStr">
        <is>
          <t>0</t>
        </is>
      </c>
      <c r="G6" s="2" t="inlineStr">
        <is>
          <t>BEFORE the LNA: video/LF transient killed 60-80 dB pre-amplification; IL costs only ~0.03 dB NF behind the internal +20 dB</t>
        </is>
      </c>
    </row>
    <row r="7">
      <c r="A7" t="n">
        <v>6</v>
      </c>
      <c r="B7" s="2" t="inlineStr">
        <is>
          <t>ZX60-P105LN+</t>
        </is>
      </c>
      <c r="C7" s="2" t="n">
        <v>15.5</v>
      </c>
      <c r="D7" s="2" t="inlineStr">
        <is>
          <t>S+25.5</t>
        </is>
      </c>
      <c r="E7" s="2" t="inlineStr">
        <is>
          <t>+8.5</t>
        </is>
      </c>
      <c r="F7" s="2" t="inlineStr">
        <is>
          <t>+15.5</t>
        </is>
      </c>
      <c r="G7" s="2" t="inlineStr">
        <is>
          <t>Leak: 10.4 dB below P1dB at typ (linear!); 3.4 dB at AMC max (mild compression)</t>
        </is>
      </c>
    </row>
    <row r="8">
      <c r="A8" t="n">
        <v>7</v>
      </c>
      <c r="B8" s="2" t="inlineStr">
        <is>
          <t>MSO64B, 50 ohm</t>
        </is>
      </c>
      <c r="C8" s="2" t="inlineStr">
        <is>
          <t>-</t>
        </is>
      </c>
      <c r="D8" s="2" t="inlineStr">
        <is>
          <t>record</t>
        </is>
      </c>
      <c r="E8" s="2" t="inlineStr">
        <is>
          <t>0.60 V RMS</t>
        </is>
      </c>
      <c r="F8" s="2" t="inlineStr">
        <is>
          <t>1.34 V RMS</t>
        </is>
      </c>
      <c r="G8" s="2" t="inlineStr">
        <is>
          <t>50-ohm max 5 V RMS - safe. Detection window opens AFTER chirp ends: leak never appears in recorded data, it only sets settling</t>
        </is>
      </c>
    </row>
    <row r="10">
      <c r="B10" s="2" t="inlineStr">
        <is>
          <t>Noise: system NF ~ CL 8 + internal amp ~2 = ~10 dB DSB. Density at scope = -174 +10 +12 -2 +15.5 = -138.5 dBm/Hz, ~16 dB above scope front-end floor -&gt; scope contributes ~0.1 dB. Single-sideband detection of a DSB mixer with unexcited image = +3 dB noise fold (standard, accepted).</t>
        </is>
      </c>
    </row>
  </sheetData>
  <mergeCells count="1">
    <mergeCell ref="B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Statement</t>
        </is>
      </c>
    </row>
    <row r="2" ht="45" customHeight="1">
      <c r="A2" s="5" t="inlineStr">
        <is>
          <t>Multiplication</t>
        </is>
      </c>
      <c r="B2" s="2" t="inlineStr">
        <is>
          <t>AWG 2.152-2.570 GHz -&gt; x3 (ZX90-3-812) -&gt; 6.455-7.710 -&gt; x2 (ZX90-2-24) -&gt; 12.91-15.42 -&gt; x24 (AMC / MixAMC) -&gt; 310-370 GHz. Total x144 = 43.2 dB phase-noise growth (2.5 dB better than the x8 route).</t>
        </is>
      </c>
    </row>
    <row r="3" ht="45" customHeight="1">
      <c r="A3" s="5" t="inlineStr">
        <is>
          <t>Segmentation</t>
        </is>
      </c>
      <c r="B3" s="2" t="inlineStr">
        <is>
          <t>~100 MHz output segments = ~4.2 MHz baseband chirps, DUC NCO-stepped; ~120 segments tile 310-370 GHz. CH1 (chirp) and CH2 (CW LO) share one AWG buffer -&gt; shot-to-shot phase coherence by construction.</t>
        </is>
      </c>
    </row>
    <row r="4" ht="45" customHeight="1">
      <c r="A4" s="5" t="inlineStr">
        <is>
          <t>Rx LO placement</t>
        </is>
      </c>
      <c r="B4" s="2" t="inlineStr">
        <is>
          <t>24*f_LO,Rx = segment LOW edge - 730 MHz (LO always BELOW the segment). Keeps the LO &lt;= 369.3 GHz, inside the MixAMC's good-CL window (~270-370), and maps the whole segment to ONE sideband, non-inverted.</t>
        </is>
      </c>
    </row>
    <row r="5" ht="45" customHeight="1">
      <c r="A5" s="5" t="inlineStr">
        <is>
          <t>AWG offset</t>
        </is>
      </c>
      <c r="B5" s="2" t="inlineStr">
        <is>
          <t>f_CH2 = (f_seg,low - 0.730 GHz)/144 -&gt; CH2 sits 5.417 MHz below the CH1 segment-center equivalent (for 100 MHz segments). Steps in lockstep with CH1's NCO.</t>
        </is>
      </c>
    </row>
    <row r="6" ht="45" customHeight="1">
      <c r="A6" s="5" t="inlineStr">
        <is>
          <t>IF band</t>
        </is>
      </c>
      <c r="B6" s="2" t="inlineStr">
        <is>
          <t>Segment maps to IF 730-830 MHz - inside VBFZ-780 passband (710-850, 20 MHz margin each side) and inside the MixAMC's SPECIFIED &lt;=1 GHz IF band. The bare 316G mixer core works to 40 GHz; the &lt;=1 GHz spec is the internal +20 dB IF amp's band, and gain/flatness are only guaranteed there -&gt; stay below 1 GHz (user decision 2026-08-05).</t>
        </is>
      </c>
    </row>
    <row r="7" ht="45" customHeight="1">
      <c r="A7" s="5" t="inlineStr">
        <is>
          <t>Image band</t>
        </is>
      </c>
      <c r="B7" s="2" t="inlineStr">
        <is>
          <t>DSB mixer: image = LO - IF = 1.46 GHz below the segment low edge. Unexcited (FID only comes from the currently excited segment) -&gt; contributes only the standard 3 dB DSB noise fold, no spectral ambiguity.</t>
        </is>
      </c>
    </row>
    <row r="8" ht="45" customHeight="1">
      <c r="A8" s="5" t="inlineStr">
        <is>
          <t>What is detected</t>
        </is>
      </c>
      <c r="B8" s="2" t="inlineStr">
        <is>
          <t>Detection window opens only AFTER the chirp ends: recorded data contains ONLY FID x LO. The chirp-leak beat (sweeps 730-830 MHz during excitation, since leak and LO mix while the chirp is on) never contaminates spectra - it only matters for mixer safety (OK: -17 dBm &lt; -10 linear limit) and IF/scope settling before the window.</t>
        </is>
      </c>
    </row>
    <row r="9" ht="45" customHeight="1">
      <c r="A9" s="5" t="inlineStr">
        <is>
          <t>In-band spur logic</t>
        </is>
      </c>
      <c r="B9" s="2" t="inlineStr">
        <is>
          <t>Interstage filters exist to prevent IN-band products: tripler F2 residue (4.30-5.14 GHz) x3 in the doubler would land at 12.9-15.4 GHz; LNA harmonics likewise. Out-of-band content at AMC/MixAMC inputs doesn't matter (ACST, 2026-08-05, qualitative - written dBc limit still requested).</t>
        </is>
      </c>
    </row>
    <row r="10" ht="45" customHeight="1">
      <c r="A10" s="5" t="inlineStr">
        <is>
          <t>Scope</t>
        </is>
      </c>
      <c r="B10" s="2" t="inlineStr">
        <is>
          <t>MSO64B, 25 GS/s, common 10 MHz ref with AWG, triggered on AWG marker. IF band 730-830 MHz clears the scope's own 1.5 GHz comb. 270-310 GHz of the MixAMC window is dead margin: the Tx AMC starts at 310 GHz.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2026-08-05T10:05:25Z</dcterms:created>
  <dcterms:modified xsi:type="dcterms:W3CDTF">2026-08-05T10:05:25Z</dcterms:modified>
</cp:coreProperties>
</file>